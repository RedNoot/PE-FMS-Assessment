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drawings/drawing14.xml" ContentType="application/vnd.openxmlformats-officedocument.drawing+xml"/>
  <Override PartName="/xl/comments2.xml" ContentType="application/vnd.openxmlformats-officedocument.spreadsheetml.comments+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charts/chart26.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15.xml" ContentType="application/vnd.openxmlformats-officedocument.drawing+xml"/>
  <Override PartName="/xl/tables/table13.xml" ContentType="application/vnd.openxmlformats-officedocument.spreadsheetml.table+xml"/>
  <Override PartName="/xl/charts/chart27.xml" ContentType="application/vnd.openxmlformats-officedocument.drawingml.chart+xml"/>
  <Override PartName="/xl/charts/style4.xml" ContentType="application/vnd.ms-office.chartstyle+xml"/>
  <Override PartName="/xl/charts/colors4.xml" ContentType="application/vnd.ms-office.chartcolorstyle+xml"/>
  <Override PartName="/xl/charts/chart28.xml" ContentType="application/vnd.openxmlformats-officedocument.drawingml.chart+xml"/>
  <Override PartName="/xl/tables/table14.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2757f497bf0dc434/Desktop/Vic FMS/2.5 for Reformatting/"/>
    </mc:Choice>
  </mc:AlternateContent>
  <xr:revisionPtr revIDLastSave="21776" documentId="13_ncr:1_{A3AC50E5-56FF-4B05-A6F3-E7D9EB03759C}" xr6:coauthVersionLast="47" xr6:coauthVersionMax="47" xr10:uidLastSave="{6E76138B-DAA3-4714-BFB9-F981059686DE}"/>
  <bookViews>
    <workbookView xWindow="-108" yWindow="-108" windowWidth="23256" windowHeight="12456" firstSheet="11" activeTab="17" xr2:uid="{00000000-000D-0000-FFFF-FFFF00000000}"/>
  </bookViews>
  <sheets>
    <sheet name="Class List" sheetId="14" r:id="rId1"/>
    <sheet name="Run" sheetId="1" r:id="rId2"/>
    <sheet name="Vertical Jump" sheetId="2" r:id="rId3"/>
    <sheet name="Leap" sheetId="3" r:id="rId4"/>
    <sheet name="Dodge" sheetId="4" r:id="rId5"/>
    <sheet name="Catch" sheetId="5" r:id="rId6"/>
    <sheet name="Overhand throw" sheetId="6" r:id="rId7"/>
    <sheet name="Kick" sheetId="7" r:id="rId8"/>
    <sheet name="Punt" sheetId="8" r:id="rId9"/>
    <sheet name="Bounce" sheetId="9" r:id="rId10"/>
    <sheet name="Two-handed strike" sheetId="10" r:id="rId11"/>
    <sheet name="Forehand strike" sheetId="11" r:id="rId12"/>
    <sheet name="Gymnastics" sheetId="16" r:id="rId13"/>
    <sheet name="ASTS 2+3" sheetId="19" r:id="rId14"/>
    <sheet name="Rock to stand" sheetId="18" r:id="rId15"/>
    <sheet name="Rubric" sheetId="25" r:id="rId16"/>
    <sheet name="Class List Import" sheetId="23" r:id="rId17"/>
    <sheet name="Class Export" sheetId="24" r:id="rId18"/>
  </sheets>
  <functionGroups builtInGroupCount="19"/>
  <externalReferences>
    <externalReference r:id="rId19"/>
    <externalReference r:id="rId20"/>
  </externalReferences>
  <definedNames>
    <definedName name="_xlchart.v1.0" hidden="1">'[1]AST 3'!$E$28:$E$48</definedName>
    <definedName name="Class_List" comment="&quot;C:\Users\10222491\Downloads\Student Form Group 34A Export - 2025-03-07_0326PM.csv&quot;">'Class List'!$A$3</definedName>
    <definedName name="CSV_Path">'Class List'!$A$3</definedName>
    <definedName name="ExternalData_1" localSheetId="16" hidden="1">'Class List Import'!$A$1:$E$27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8" l="1"/>
  <c r="J5" i="18"/>
  <c r="K5" i="18"/>
  <c r="G5" i="1"/>
  <c r="I5" i="1" s="1"/>
  <c r="D5" i="14" s="1"/>
  <c r="G6" i="1"/>
  <c r="I6" i="1" s="1"/>
  <c r="D6" i="14" s="1"/>
  <c r="G7" i="1"/>
  <c r="I7" i="1" s="1"/>
  <c r="D7" i="14" s="1"/>
  <c r="G8" i="1"/>
  <c r="I8" i="1" s="1"/>
  <c r="D8" i="14" s="1"/>
  <c r="G9" i="1"/>
  <c r="I9" i="1" s="1"/>
  <c r="D9" i="14" s="1"/>
  <c r="G10" i="1"/>
  <c r="I10" i="1" s="1"/>
  <c r="G11" i="1"/>
  <c r="I11" i="1" s="1"/>
  <c r="G12" i="1"/>
  <c r="I12" i="1" s="1"/>
  <c r="G13" i="1"/>
  <c r="I13" i="1" s="1"/>
  <c r="G14" i="1"/>
  <c r="I14" i="1" s="1"/>
  <c r="G15" i="1"/>
  <c r="I15" i="1" s="1"/>
  <c r="G16" i="1"/>
  <c r="I16" i="1" s="1"/>
  <c r="G17" i="1"/>
  <c r="I17" i="1" s="1"/>
  <c r="G18" i="1"/>
  <c r="I18" i="1" s="1"/>
  <c r="G19" i="1"/>
  <c r="I19" i="1" s="1"/>
  <c r="G20" i="1"/>
  <c r="I20" i="1" s="1"/>
  <c r="G21" i="1"/>
  <c r="I21" i="1" s="1"/>
  <c r="G22" i="1"/>
  <c r="I22" i="1" s="1"/>
  <c r="G23" i="1"/>
  <c r="I23" i="1" s="1"/>
  <c r="G24" i="1"/>
  <c r="I24" i="1" s="1"/>
  <c r="G25" i="1"/>
  <c r="G26" i="1"/>
  <c r="G27" i="1"/>
  <c r="I27" i="1" s="1"/>
  <c r="G28" i="1"/>
  <c r="I28" i="1" s="1"/>
  <c r="G29" i="1"/>
  <c r="I29" i="1" s="1"/>
  <c r="G30" i="1"/>
  <c r="I30" i="1" s="1"/>
  <c r="G31" i="1"/>
  <c r="I31" i="1" s="1"/>
  <c r="G32" i="1"/>
  <c r="I32" i="1" s="1"/>
  <c r="G33" i="1"/>
  <c r="I33" i="1" s="1"/>
  <c r="G34" i="1"/>
  <c r="I34" i="1" s="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I25" i="1"/>
  <c r="I26" i="1"/>
  <c r="L5" i="18" l="1"/>
  <c r="U5" i="14" s="1"/>
  <c r="A5" i="2"/>
  <c r="G5" i="2"/>
  <c r="H5" i="2"/>
  <c r="A6" i="2"/>
  <c r="G6" i="2"/>
  <c r="I6" i="2" s="1"/>
  <c r="E6" i="14" s="1"/>
  <c r="H6" i="2"/>
  <c r="A7" i="2"/>
  <c r="G7" i="2"/>
  <c r="H7" i="2"/>
  <c r="A8" i="2"/>
  <c r="G8" i="2"/>
  <c r="H8" i="2"/>
  <c r="A9" i="2"/>
  <c r="G9" i="2"/>
  <c r="H9" i="2"/>
  <c r="A10" i="2"/>
  <c r="G10" i="2"/>
  <c r="I10" i="2" s="1"/>
  <c r="H10" i="2"/>
  <c r="A11" i="2"/>
  <c r="G11" i="2"/>
  <c r="H11" i="2"/>
  <c r="A12" i="2"/>
  <c r="G12" i="2"/>
  <c r="I12" i="2" s="1"/>
  <c r="H12" i="2"/>
  <c r="A13" i="2"/>
  <c r="G13" i="2"/>
  <c r="H13" i="2"/>
  <c r="A14" i="2"/>
  <c r="G14" i="2"/>
  <c r="I14" i="2" s="1"/>
  <c r="H14" i="2"/>
  <c r="A15" i="2"/>
  <c r="G15" i="2"/>
  <c r="H15" i="2"/>
  <c r="A16" i="2"/>
  <c r="G16" i="2"/>
  <c r="I16" i="2" s="1"/>
  <c r="H16" i="2"/>
  <c r="A17" i="2"/>
  <c r="G17" i="2"/>
  <c r="H17" i="2"/>
  <c r="A18" i="2"/>
  <c r="G18" i="2"/>
  <c r="H18" i="2"/>
  <c r="A19" i="2"/>
  <c r="G19" i="2"/>
  <c r="H19" i="2"/>
  <c r="A20" i="2"/>
  <c r="G20" i="2"/>
  <c r="I20" i="2" s="1"/>
  <c r="H20" i="2"/>
  <c r="A21" i="2"/>
  <c r="G21" i="2"/>
  <c r="H21" i="2"/>
  <c r="A22" i="2"/>
  <c r="G22" i="2"/>
  <c r="I22" i="2" s="1"/>
  <c r="H22" i="2"/>
  <c r="A23" i="2"/>
  <c r="G23" i="2"/>
  <c r="H23" i="2"/>
  <c r="A24" i="2"/>
  <c r="G24" i="2"/>
  <c r="H24" i="2"/>
  <c r="A25" i="2"/>
  <c r="G25" i="2"/>
  <c r="H25" i="2"/>
  <c r="A26" i="2"/>
  <c r="G26" i="2"/>
  <c r="I26" i="2" s="1"/>
  <c r="H26" i="2"/>
  <c r="A27" i="2"/>
  <c r="G27" i="2"/>
  <c r="H27" i="2"/>
  <c r="A28" i="2"/>
  <c r="G28" i="2"/>
  <c r="I28" i="2" s="1"/>
  <c r="H28" i="2"/>
  <c r="A29" i="2"/>
  <c r="G29" i="2"/>
  <c r="H29" i="2"/>
  <c r="A30" i="2"/>
  <c r="G30" i="2"/>
  <c r="H30" i="2"/>
  <c r="A31" i="2"/>
  <c r="G31" i="2"/>
  <c r="H31" i="2"/>
  <c r="A32" i="2"/>
  <c r="G32" i="2"/>
  <c r="I32" i="2" s="1"/>
  <c r="H32" i="2"/>
  <c r="A33" i="2"/>
  <c r="G33" i="2"/>
  <c r="H33" i="2"/>
  <c r="A34" i="2"/>
  <c r="G34" i="2"/>
  <c r="H34" i="2"/>
  <c r="B35" i="2"/>
  <c r="C35" i="2"/>
  <c r="D35" i="2"/>
  <c r="E35" i="2"/>
  <c r="F35" i="2"/>
  <c r="N18" i="19"/>
  <c r="N19" i="19"/>
  <c r="N20" i="19"/>
  <c r="N21" i="19"/>
  <c r="N22" i="19"/>
  <c r="N23" i="19"/>
  <c r="N24" i="19"/>
  <c r="N25" i="19"/>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5" i="10"/>
  <c r="B28" i="19" a="1"/>
  <c r="B28" i="19" s="1"/>
  <c r="B5" i="19" a="1"/>
  <c r="B5" i="19" s="1"/>
  <c r="K28" i="19" a="1"/>
  <c r="K28" i="19" s="1"/>
  <c r="I29" i="2" l="1"/>
  <c r="I31" i="2"/>
  <c r="I23" i="2"/>
  <c r="I25" i="2"/>
  <c r="I17" i="2"/>
  <c r="I7" i="2"/>
  <c r="E7" i="14" s="1"/>
  <c r="I24" i="2"/>
  <c r="I11" i="2"/>
  <c r="I34" i="2"/>
  <c r="I5" i="2"/>
  <c r="E5" i="14" s="1"/>
  <c r="I18" i="2"/>
  <c r="I30" i="2"/>
  <c r="I19" i="2"/>
  <c r="I9" i="2"/>
  <c r="E9" i="14" s="1"/>
  <c r="I13" i="2"/>
  <c r="I27" i="2"/>
  <c r="I15" i="2"/>
  <c r="I8" i="2"/>
  <c r="E8" i="14" s="1"/>
  <c r="I33" i="2"/>
  <c r="I21" i="2"/>
  <c r="AX3" i="24"/>
  <c r="AX4" i="24"/>
  <c r="AX5" i="24"/>
  <c r="AX6" i="24"/>
  <c r="AX7" i="24"/>
  <c r="AX8" i="24"/>
  <c r="AX9" i="24"/>
  <c r="AX10" i="24"/>
  <c r="AX11" i="24"/>
  <c r="AX12" i="24"/>
  <c r="AX13" i="24"/>
  <c r="AX14" i="24"/>
  <c r="AX15" i="24"/>
  <c r="AX16" i="24"/>
  <c r="AX17" i="24"/>
  <c r="AX18" i="24"/>
  <c r="AX19" i="24"/>
  <c r="AX20" i="24"/>
  <c r="AX21" i="24"/>
  <c r="AX22" i="24"/>
  <c r="AX23" i="24"/>
  <c r="AX24" i="24"/>
  <c r="AX25" i="24"/>
  <c r="AX26" i="24"/>
  <c r="AX27" i="24"/>
  <c r="AX28" i="24"/>
  <c r="AX29" i="24"/>
  <c r="AX30" i="24"/>
  <c r="AX31" i="24"/>
  <c r="AX2" i="24"/>
  <c r="A3" i="24"/>
  <c r="B3" i="24"/>
  <c r="C3" i="24"/>
  <c r="D3" i="24"/>
  <c r="E3" i="24"/>
  <c r="F3" i="24"/>
  <c r="G3" i="24"/>
  <c r="H3" i="24"/>
  <c r="I3" i="24"/>
  <c r="J3" i="24"/>
  <c r="K3" i="24"/>
  <c r="L3" i="24"/>
  <c r="M3" i="24"/>
  <c r="N3" i="24"/>
  <c r="O3" i="24"/>
  <c r="P3" i="24"/>
  <c r="Q3" i="24"/>
  <c r="R3" i="24"/>
  <c r="S3" i="24"/>
  <c r="T3" i="24"/>
  <c r="U3" i="24"/>
  <c r="V3" i="24"/>
  <c r="W3" i="24"/>
  <c r="X3" i="24"/>
  <c r="Y3" i="24"/>
  <c r="Z3" i="24"/>
  <c r="AA3" i="24"/>
  <c r="AB3" i="24"/>
  <c r="AC3" i="24"/>
  <c r="AD3" i="24"/>
  <c r="AE3" i="24"/>
  <c r="AF3" i="24"/>
  <c r="AG3" i="24"/>
  <c r="AH3" i="24"/>
  <c r="AI3" i="24"/>
  <c r="AJ3" i="24"/>
  <c r="AK3" i="24"/>
  <c r="AL3" i="24"/>
  <c r="AM3" i="24"/>
  <c r="AN3" i="24"/>
  <c r="AO3" i="24"/>
  <c r="AP3" i="24"/>
  <c r="AQ3" i="24"/>
  <c r="AR3" i="24"/>
  <c r="AS3" i="24"/>
  <c r="AT3" i="24"/>
  <c r="AU3" i="24"/>
  <c r="AV3" i="24"/>
  <c r="AW3" i="24"/>
  <c r="AY3" i="24"/>
  <c r="AZ3" i="24"/>
  <c r="BA3" i="24"/>
  <c r="BB3" i="24"/>
  <c r="BC3" i="24"/>
  <c r="BD3" i="24"/>
  <c r="BE3" i="24"/>
  <c r="BF3" i="24"/>
  <c r="BG3" i="24"/>
  <c r="BH3" i="24"/>
  <c r="BI3" i="24"/>
  <c r="BJ3" i="24"/>
  <c r="BK3" i="24"/>
  <c r="BL3" i="24"/>
  <c r="BM3" i="24"/>
  <c r="BN3" i="24"/>
  <c r="BO3" i="24"/>
  <c r="BP3" i="24"/>
  <c r="BQ3" i="24"/>
  <c r="BR3" i="24"/>
  <c r="BS3" i="24"/>
  <c r="BT3" i="24"/>
  <c r="BU3" i="24"/>
  <c r="BV3" i="24"/>
  <c r="BX3" i="24"/>
  <c r="BY3" i="24"/>
  <c r="BZ3" i="24"/>
  <c r="CA3" i="24"/>
  <c r="CB3" i="24"/>
  <c r="CC3" i="24"/>
  <c r="CD3" i="24"/>
  <c r="CE3" i="24"/>
  <c r="A4" i="24"/>
  <c r="B4" i="24"/>
  <c r="C4" i="24"/>
  <c r="D4" i="24"/>
  <c r="E4" i="24"/>
  <c r="F4" i="24"/>
  <c r="G4" i="24"/>
  <c r="H4" i="24"/>
  <c r="I4" i="24"/>
  <c r="J4" i="24"/>
  <c r="K4" i="24"/>
  <c r="L4" i="24"/>
  <c r="M4" i="24"/>
  <c r="N4" i="24"/>
  <c r="O4" i="24"/>
  <c r="P4" i="24"/>
  <c r="Q4" i="24"/>
  <c r="R4" i="24"/>
  <c r="S4" i="24"/>
  <c r="T4" i="24"/>
  <c r="U4" i="24"/>
  <c r="V4" i="24"/>
  <c r="W4" i="24"/>
  <c r="X4" i="24"/>
  <c r="Y4" i="24"/>
  <c r="Z4" i="24"/>
  <c r="AA4" i="24"/>
  <c r="AB4" i="24"/>
  <c r="AC4" i="24"/>
  <c r="AD4" i="24"/>
  <c r="AE4" i="24"/>
  <c r="AF4" i="24"/>
  <c r="AG4" i="24"/>
  <c r="AH4" i="24"/>
  <c r="AI4" i="24"/>
  <c r="AJ4" i="24"/>
  <c r="AK4" i="24"/>
  <c r="AL4" i="24"/>
  <c r="AM4" i="24"/>
  <c r="AN4" i="24"/>
  <c r="AO4" i="24"/>
  <c r="AP4" i="24"/>
  <c r="AQ4" i="24"/>
  <c r="AR4" i="24"/>
  <c r="AS4" i="24"/>
  <c r="AT4" i="24"/>
  <c r="AU4" i="24"/>
  <c r="AV4" i="24"/>
  <c r="AW4" i="24"/>
  <c r="AY4" i="24"/>
  <c r="AZ4" i="24"/>
  <c r="BA4" i="24"/>
  <c r="BB4" i="24"/>
  <c r="BC4" i="24"/>
  <c r="BD4" i="24"/>
  <c r="BE4" i="24"/>
  <c r="BF4" i="24"/>
  <c r="BG4" i="24"/>
  <c r="BH4" i="24"/>
  <c r="BI4" i="24"/>
  <c r="BJ4" i="24"/>
  <c r="BK4" i="24"/>
  <c r="BL4" i="24"/>
  <c r="BM4" i="24"/>
  <c r="BN4" i="24"/>
  <c r="BO4" i="24"/>
  <c r="BP4" i="24"/>
  <c r="BQ4" i="24"/>
  <c r="BR4" i="24"/>
  <c r="BS4" i="24"/>
  <c r="BT4" i="24"/>
  <c r="BU4" i="24"/>
  <c r="BV4" i="24"/>
  <c r="BX4" i="24"/>
  <c r="BY4" i="24"/>
  <c r="BZ4" i="24"/>
  <c r="CA4" i="24"/>
  <c r="CB4" i="24"/>
  <c r="CC4" i="24"/>
  <c r="CD4" i="24"/>
  <c r="CE4" i="24"/>
  <c r="A5" i="24"/>
  <c r="B5" i="24"/>
  <c r="C5" i="24"/>
  <c r="D5" i="24"/>
  <c r="E5" i="24"/>
  <c r="F5" i="24"/>
  <c r="G5" i="24"/>
  <c r="H5" i="24"/>
  <c r="I5" i="24"/>
  <c r="J5" i="24"/>
  <c r="K5" i="24"/>
  <c r="L5" i="24"/>
  <c r="M5" i="24"/>
  <c r="N5" i="24"/>
  <c r="O5" i="24"/>
  <c r="P5" i="24"/>
  <c r="Q5" i="24"/>
  <c r="R5" i="24"/>
  <c r="S5" i="24"/>
  <c r="T5" i="24"/>
  <c r="U5" i="24"/>
  <c r="V5" i="24"/>
  <c r="W5" i="24"/>
  <c r="X5" i="24"/>
  <c r="Y5" i="24"/>
  <c r="Z5" i="24"/>
  <c r="AA5" i="24"/>
  <c r="AB5" i="24"/>
  <c r="AC5" i="24"/>
  <c r="AD5" i="24"/>
  <c r="AE5" i="24"/>
  <c r="AF5" i="24"/>
  <c r="AG5" i="24"/>
  <c r="AH5" i="24"/>
  <c r="AI5" i="24"/>
  <c r="AJ5" i="24"/>
  <c r="AK5" i="24"/>
  <c r="AL5" i="24"/>
  <c r="AM5" i="24"/>
  <c r="AN5" i="24"/>
  <c r="AO5" i="24"/>
  <c r="AP5" i="24"/>
  <c r="AQ5" i="24"/>
  <c r="AR5" i="24"/>
  <c r="AS5" i="24"/>
  <c r="AT5" i="24"/>
  <c r="AU5" i="24"/>
  <c r="AV5" i="24"/>
  <c r="AW5" i="24"/>
  <c r="AY5" i="24"/>
  <c r="AZ5" i="24"/>
  <c r="BA5" i="24"/>
  <c r="BB5" i="24"/>
  <c r="BC5" i="24"/>
  <c r="BD5" i="24"/>
  <c r="BE5" i="24"/>
  <c r="BF5" i="24"/>
  <c r="BG5" i="24"/>
  <c r="BH5" i="24"/>
  <c r="BI5" i="24"/>
  <c r="BJ5" i="24"/>
  <c r="BK5" i="24"/>
  <c r="BL5" i="24"/>
  <c r="BM5" i="24"/>
  <c r="BN5" i="24"/>
  <c r="BO5" i="24"/>
  <c r="BP5" i="24"/>
  <c r="BQ5" i="24"/>
  <c r="BR5" i="24"/>
  <c r="BS5" i="24"/>
  <c r="BT5" i="24"/>
  <c r="BU5" i="24"/>
  <c r="BV5" i="24"/>
  <c r="BX5" i="24"/>
  <c r="BY5" i="24"/>
  <c r="BZ5" i="24"/>
  <c r="CA5" i="24"/>
  <c r="CB5" i="24"/>
  <c r="CC5" i="24"/>
  <c r="CD5" i="24"/>
  <c r="CE5" i="24"/>
  <c r="A6" i="24"/>
  <c r="B6" i="24"/>
  <c r="C6" i="24"/>
  <c r="D6" i="24"/>
  <c r="E6" i="24"/>
  <c r="F6" i="24"/>
  <c r="G6" i="24"/>
  <c r="H6" i="24"/>
  <c r="I6" i="24"/>
  <c r="J6" i="24"/>
  <c r="K6" i="24"/>
  <c r="L6" i="24"/>
  <c r="M6" i="24"/>
  <c r="N6" i="24"/>
  <c r="O6" i="24"/>
  <c r="P6" i="24"/>
  <c r="Q6" i="24"/>
  <c r="R6" i="24"/>
  <c r="S6" i="24"/>
  <c r="T6" i="24"/>
  <c r="U6" i="24"/>
  <c r="V6" i="24"/>
  <c r="W6" i="24"/>
  <c r="X6" i="24"/>
  <c r="Y6" i="24"/>
  <c r="Z6" i="24"/>
  <c r="AA6" i="24"/>
  <c r="AB6" i="24"/>
  <c r="AC6" i="24"/>
  <c r="AD6" i="24"/>
  <c r="AE6" i="24"/>
  <c r="AF6" i="24"/>
  <c r="AG6" i="24"/>
  <c r="AH6" i="24"/>
  <c r="AI6" i="24"/>
  <c r="AJ6" i="24"/>
  <c r="AK6" i="24"/>
  <c r="AL6" i="24"/>
  <c r="AM6" i="24"/>
  <c r="AN6" i="24"/>
  <c r="AO6" i="24"/>
  <c r="AP6" i="24"/>
  <c r="AQ6" i="24"/>
  <c r="AR6" i="24"/>
  <c r="AS6" i="24"/>
  <c r="AT6" i="24"/>
  <c r="AU6" i="24"/>
  <c r="AV6" i="24"/>
  <c r="AW6" i="24"/>
  <c r="AY6" i="24"/>
  <c r="AZ6" i="24"/>
  <c r="BA6" i="24"/>
  <c r="BB6" i="24"/>
  <c r="BC6" i="24"/>
  <c r="BD6" i="24"/>
  <c r="BE6" i="24"/>
  <c r="BF6" i="24"/>
  <c r="BG6" i="24"/>
  <c r="BH6" i="24"/>
  <c r="BI6" i="24"/>
  <c r="BJ6" i="24"/>
  <c r="BK6" i="24"/>
  <c r="BL6" i="24"/>
  <c r="BM6" i="24"/>
  <c r="BN6" i="24"/>
  <c r="BO6" i="24"/>
  <c r="BP6" i="24"/>
  <c r="BQ6" i="24"/>
  <c r="BR6" i="24"/>
  <c r="BS6" i="24"/>
  <c r="BT6" i="24"/>
  <c r="BU6" i="24"/>
  <c r="BV6" i="24"/>
  <c r="BX6" i="24"/>
  <c r="BY6" i="24"/>
  <c r="BZ6" i="24"/>
  <c r="CA6" i="24"/>
  <c r="CB6" i="24"/>
  <c r="CC6" i="24"/>
  <c r="CD6" i="24"/>
  <c r="CE6" i="24"/>
  <c r="A7" i="24"/>
  <c r="B7" i="24"/>
  <c r="C7" i="24"/>
  <c r="D7" i="24"/>
  <c r="E7" i="24"/>
  <c r="F7" i="24"/>
  <c r="G7" i="24"/>
  <c r="H7" i="24"/>
  <c r="I7" i="24"/>
  <c r="J7" i="24"/>
  <c r="K7" i="24"/>
  <c r="L7" i="24"/>
  <c r="M7" i="24"/>
  <c r="N7" i="24"/>
  <c r="O7" i="24"/>
  <c r="P7" i="24"/>
  <c r="Q7" i="24"/>
  <c r="R7" i="24"/>
  <c r="S7" i="24"/>
  <c r="T7" i="24"/>
  <c r="U7" i="24"/>
  <c r="V7" i="24"/>
  <c r="W7" i="24"/>
  <c r="X7" i="24"/>
  <c r="Y7" i="24"/>
  <c r="Z7" i="24"/>
  <c r="AA7" i="24"/>
  <c r="AB7" i="24"/>
  <c r="AC7" i="24"/>
  <c r="AD7" i="24"/>
  <c r="AE7" i="24"/>
  <c r="AF7" i="24"/>
  <c r="AG7" i="24"/>
  <c r="AH7" i="24"/>
  <c r="AI7" i="24"/>
  <c r="AJ7" i="24"/>
  <c r="AK7" i="24"/>
  <c r="AL7" i="24"/>
  <c r="AM7" i="24"/>
  <c r="AN7" i="24"/>
  <c r="AO7" i="24"/>
  <c r="AP7" i="24"/>
  <c r="AQ7" i="24"/>
  <c r="AR7" i="24"/>
  <c r="AS7" i="24"/>
  <c r="AT7" i="24"/>
  <c r="AU7" i="24"/>
  <c r="AV7" i="24"/>
  <c r="AW7" i="24"/>
  <c r="AY7" i="24"/>
  <c r="AZ7" i="24"/>
  <c r="BA7" i="24"/>
  <c r="BB7" i="24"/>
  <c r="BC7" i="24"/>
  <c r="BD7" i="24"/>
  <c r="BE7" i="24"/>
  <c r="BF7" i="24"/>
  <c r="BG7" i="24"/>
  <c r="BH7" i="24"/>
  <c r="BI7" i="24"/>
  <c r="BJ7" i="24"/>
  <c r="BK7" i="24"/>
  <c r="BL7" i="24"/>
  <c r="BM7" i="24"/>
  <c r="BN7" i="24"/>
  <c r="BO7" i="24"/>
  <c r="BP7" i="24"/>
  <c r="BQ7" i="24"/>
  <c r="BR7" i="24"/>
  <c r="BS7" i="24"/>
  <c r="BT7" i="24"/>
  <c r="BU7" i="24"/>
  <c r="BV7" i="24"/>
  <c r="BX7" i="24"/>
  <c r="BY7" i="24"/>
  <c r="BZ7" i="24"/>
  <c r="CA7" i="24"/>
  <c r="CB7" i="24"/>
  <c r="CC7" i="24"/>
  <c r="CD7" i="24"/>
  <c r="CE7" i="24"/>
  <c r="A8" i="24"/>
  <c r="B8" i="24"/>
  <c r="C8" i="24"/>
  <c r="D8" i="24"/>
  <c r="E8" i="24"/>
  <c r="F8" i="24"/>
  <c r="G8" i="24"/>
  <c r="H8" i="24"/>
  <c r="I8" i="24"/>
  <c r="J8" i="24"/>
  <c r="K8" i="24"/>
  <c r="L8" i="24"/>
  <c r="M8" i="24"/>
  <c r="N8" i="24"/>
  <c r="O8" i="24"/>
  <c r="P8" i="24"/>
  <c r="Q8" i="24"/>
  <c r="R8" i="24"/>
  <c r="S8" i="24"/>
  <c r="T8" i="24"/>
  <c r="U8" i="24"/>
  <c r="V8" i="24"/>
  <c r="W8" i="24"/>
  <c r="X8" i="24"/>
  <c r="Y8" i="24"/>
  <c r="Z8" i="24"/>
  <c r="AA8" i="24"/>
  <c r="AB8" i="24"/>
  <c r="AC8" i="24"/>
  <c r="AD8" i="24"/>
  <c r="AE8" i="24"/>
  <c r="AF8" i="24"/>
  <c r="AG8" i="24"/>
  <c r="AH8" i="24"/>
  <c r="AI8" i="24"/>
  <c r="AJ8" i="24"/>
  <c r="AK8" i="24"/>
  <c r="AL8" i="24"/>
  <c r="AM8" i="24"/>
  <c r="AN8" i="24"/>
  <c r="AO8" i="24"/>
  <c r="AP8" i="24"/>
  <c r="AQ8" i="24"/>
  <c r="AR8" i="24"/>
  <c r="AS8" i="24"/>
  <c r="AT8" i="24"/>
  <c r="AU8" i="24"/>
  <c r="AV8" i="24"/>
  <c r="AW8" i="24"/>
  <c r="AY8" i="24"/>
  <c r="AZ8" i="24"/>
  <c r="BA8" i="24"/>
  <c r="BB8" i="24"/>
  <c r="BC8" i="24"/>
  <c r="BD8" i="24"/>
  <c r="BE8" i="24"/>
  <c r="BF8" i="24"/>
  <c r="BG8" i="24"/>
  <c r="BH8" i="24"/>
  <c r="BI8" i="24"/>
  <c r="BJ8" i="24"/>
  <c r="BK8" i="24"/>
  <c r="BL8" i="24"/>
  <c r="BM8" i="24"/>
  <c r="BN8" i="24"/>
  <c r="BO8" i="24"/>
  <c r="BP8" i="24"/>
  <c r="BQ8" i="24"/>
  <c r="BR8" i="24"/>
  <c r="BS8" i="24"/>
  <c r="BT8" i="24"/>
  <c r="BU8" i="24"/>
  <c r="BV8" i="24"/>
  <c r="BX8" i="24"/>
  <c r="BY8" i="24"/>
  <c r="BZ8" i="24"/>
  <c r="CA8" i="24"/>
  <c r="CB8" i="24"/>
  <c r="CC8" i="24"/>
  <c r="CD8" i="24"/>
  <c r="CE8" i="24"/>
  <c r="A9" i="24"/>
  <c r="B9" i="24"/>
  <c r="C9" i="24"/>
  <c r="D9" i="24"/>
  <c r="E9" i="24"/>
  <c r="F9" i="24"/>
  <c r="G9" i="24"/>
  <c r="H9" i="24"/>
  <c r="I9" i="24"/>
  <c r="J9" i="24"/>
  <c r="K9" i="24"/>
  <c r="L9" i="24"/>
  <c r="M9" i="24"/>
  <c r="N9" i="24"/>
  <c r="O9" i="24"/>
  <c r="P9" i="24"/>
  <c r="Q9" i="24"/>
  <c r="R9" i="24"/>
  <c r="S9" i="24"/>
  <c r="T9" i="24"/>
  <c r="U9" i="24"/>
  <c r="V9" i="24"/>
  <c r="W9" i="24"/>
  <c r="X9" i="24"/>
  <c r="Y9" i="24"/>
  <c r="Z9" i="24"/>
  <c r="AA9" i="24"/>
  <c r="AB9" i="24"/>
  <c r="AC9" i="24"/>
  <c r="AD9" i="24"/>
  <c r="AE9" i="24"/>
  <c r="AF9" i="24"/>
  <c r="AG9" i="24"/>
  <c r="AH9" i="24"/>
  <c r="AI9" i="24"/>
  <c r="AJ9" i="24"/>
  <c r="AK9" i="24"/>
  <c r="AL9" i="24"/>
  <c r="AM9" i="24"/>
  <c r="AN9" i="24"/>
  <c r="AO9" i="24"/>
  <c r="AP9" i="24"/>
  <c r="AQ9" i="24"/>
  <c r="AR9" i="24"/>
  <c r="AS9" i="24"/>
  <c r="AT9" i="24"/>
  <c r="AU9" i="24"/>
  <c r="AV9" i="24"/>
  <c r="AW9" i="24"/>
  <c r="AY9" i="24"/>
  <c r="AZ9" i="24"/>
  <c r="BA9" i="24"/>
  <c r="BB9" i="24"/>
  <c r="BC9" i="24"/>
  <c r="BD9" i="24"/>
  <c r="BE9" i="24"/>
  <c r="BF9" i="24"/>
  <c r="BG9" i="24"/>
  <c r="BH9" i="24"/>
  <c r="BI9" i="24"/>
  <c r="BJ9" i="24"/>
  <c r="BK9" i="24"/>
  <c r="BL9" i="24"/>
  <c r="BM9" i="24"/>
  <c r="BN9" i="24"/>
  <c r="BO9" i="24"/>
  <c r="BP9" i="24"/>
  <c r="BQ9" i="24"/>
  <c r="BR9" i="24"/>
  <c r="BS9" i="24"/>
  <c r="BT9" i="24"/>
  <c r="BU9" i="24"/>
  <c r="BV9" i="24"/>
  <c r="BX9" i="24"/>
  <c r="BY9" i="24"/>
  <c r="BZ9" i="24"/>
  <c r="CA9" i="24"/>
  <c r="CB9" i="24"/>
  <c r="CC9" i="24"/>
  <c r="CD9" i="24"/>
  <c r="CE9" i="24"/>
  <c r="A10" i="24"/>
  <c r="B10" i="24"/>
  <c r="C10" i="24"/>
  <c r="D10" i="24"/>
  <c r="E10" i="24"/>
  <c r="F10" i="24"/>
  <c r="G10" i="24"/>
  <c r="H10" i="24"/>
  <c r="I10" i="24"/>
  <c r="J10" i="24"/>
  <c r="K10" i="24"/>
  <c r="L10" i="24"/>
  <c r="M10" i="24"/>
  <c r="N10" i="24"/>
  <c r="O10" i="24"/>
  <c r="P10" i="24"/>
  <c r="Q10" i="24"/>
  <c r="R10" i="24"/>
  <c r="S10" i="24"/>
  <c r="T10" i="24"/>
  <c r="U10" i="24"/>
  <c r="V10" i="24"/>
  <c r="W10" i="24"/>
  <c r="X10" i="24"/>
  <c r="Y10" i="24"/>
  <c r="Z10" i="24"/>
  <c r="AA10" i="24"/>
  <c r="AB10" i="24"/>
  <c r="AC10" i="24"/>
  <c r="AD10" i="24"/>
  <c r="AE10" i="24"/>
  <c r="AF10" i="24"/>
  <c r="AG10" i="24"/>
  <c r="AH10" i="24"/>
  <c r="AI10" i="24"/>
  <c r="AJ10" i="24"/>
  <c r="AK10" i="24"/>
  <c r="AL10" i="24"/>
  <c r="AM10" i="24"/>
  <c r="AN10" i="24"/>
  <c r="AO10" i="24"/>
  <c r="AP10" i="24"/>
  <c r="AQ10" i="24"/>
  <c r="AR10" i="24"/>
  <c r="AS10" i="24"/>
  <c r="AT10" i="24"/>
  <c r="AU10" i="24"/>
  <c r="AV10" i="24"/>
  <c r="AW10" i="24"/>
  <c r="AY10" i="24"/>
  <c r="AZ10" i="24"/>
  <c r="BA10" i="24"/>
  <c r="BB10" i="24"/>
  <c r="BC10" i="24"/>
  <c r="BD10" i="24"/>
  <c r="BE10" i="24"/>
  <c r="BF10" i="24"/>
  <c r="BG10" i="24"/>
  <c r="BH10" i="24"/>
  <c r="BI10" i="24"/>
  <c r="BJ10" i="24"/>
  <c r="BK10" i="24"/>
  <c r="BL10" i="24"/>
  <c r="BM10" i="24"/>
  <c r="BN10" i="24"/>
  <c r="BO10" i="24"/>
  <c r="BP10" i="24"/>
  <c r="BQ10" i="24"/>
  <c r="BR10" i="24"/>
  <c r="BS10" i="24"/>
  <c r="BT10" i="24"/>
  <c r="BU10" i="24"/>
  <c r="BV10" i="24"/>
  <c r="BX10" i="24"/>
  <c r="BY10" i="24"/>
  <c r="BZ10" i="24"/>
  <c r="CA10" i="24"/>
  <c r="CB10" i="24"/>
  <c r="CC10" i="24"/>
  <c r="CD10" i="24"/>
  <c r="CE10" i="24"/>
  <c r="A11" i="24"/>
  <c r="B11" i="24"/>
  <c r="C11" i="24"/>
  <c r="D11" i="24"/>
  <c r="E11" i="24"/>
  <c r="F11" i="24"/>
  <c r="G11" i="24"/>
  <c r="H11" i="24"/>
  <c r="I11" i="24"/>
  <c r="J11" i="24"/>
  <c r="K11" i="24"/>
  <c r="L11" i="24"/>
  <c r="M11" i="24"/>
  <c r="N11" i="24"/>
  <c r="O11" i="24"/>
  <c r="P11" i="24"/>
  <c r="Q11" i="24"/>
  <c r="R11" i="24"/>
  <c r="S11" i="24"/>
  <c r="T11" i="24"/>
  <c r="U11" i="24"/>
  <c r="V11" i="24"/>
  <c r="W11" i="24"/>
  <c r="X11" i="24"/>
  <c r="Y11" i="24"/>
  <c r="Z11" i="24"/>
  <c r="AA11" i="24"/>
  <c r="AB11" i="24"/>
  <c r="AC11" i="24"/>
  <c r="AD11" i="24"/>
  <c r="AE11" i="24"/>
  <c r="AF11" i="24"/>
  <c r="AG11" i="24"/>
  <c r="AH11" i="24"/>
  <c r="AI11" i="24"/>
  <c r="AJ11" i="24"/>
  <c r="AK11" i="24"/>
  <c r="AL11" i="24"/>
  <c r="AM11" i="24"/>
  <c r="AN11" i="24"/>
  <c r="AO11" i="24"/>
  <c r="AP11" i="24"/>
  <c r="AQ11" i="24"/>
  <c r="AR11" i="24"/>
  <c r="AS11" i="24"/>
  <c r="AT11" i="24"/>
  <c r="AU11" i="24"/>
  <c r="AV11" i="24"/>
  <c r="AW11" i="24"/>
  <c r="AY11" i="24"/>
  <c r="AZ11" i="24"/>
  <c r="BA11" i="24"/>
  <c r="BB11" i="24"/>
  <c r="BC11" i="24"/>
  <c r="BD11" i="24"/>
  <c r="BE11" i="24"/>
  <c r="BF11" i="24"/>
  <c r="BG11" i="24"/>
  <c r="BH11" i="24"/>
  <c r="BI11" i="24"/>
  <c r="BJ11" i="24"/>
  <c r="BK11" i="24"/>
  <c r="BL11" i="24"/>
  <c r="BM11" i="24"/>
  <c r="BN11" i="24"/>
  <c r="BO11" i="24"/>
  <c r="BP11" i="24"/>
  <c r="BQ11" i="24"/>
  <c r="BR11" i="24"/>
  <c r="BS11" i="24"/>
  <c r="BT11" i="24"/>
  <c r="BU11" i="24"/>
  <c r="BV11" i="24"/>
  <c r="BX11" i="24"/>
  <c r="BY11" i="24"/>
  <c r="BZ11" i="24"/>
  <c r="CA11" i="24"/>
  <c r="CB11" i="24"/>
  <c r="CC11" i="24"/>
  <c r="CD11" i="24"/>
  <c r="CE11" i="24"/>
  <c r="A12" i="24"/>
  <c r="B12" i="24"/>
  <c r="C12" i="24"/>
  <c r="D12" i="24"/>
  <c r="E12" i="24"/>
  <c r="F12" i="24"/>
  <c r="G12" i="24"/>
  <c r="H12" i="24"/>
  <c r="I12" i="24"/>
  <c r="J12" i="24"/>
  <c r="K12" i="24"/>
  <c r="L12" i="24"/>
  <c r="M12" i="24"/>
  <c r="N12" i="24"/>
  <c r="O12" i="24"/>
  <c r="P12" i="24"/>
  <c r="Q12" i="24"/>
  <c r="R12" i="24"/>
  <c r="S12" i="24"/>
  <c r="T12" i="24"/>
  <c r="U12" i="24"/>
  <c r="V12" i="24"/>
  <c r="W12" i="24"/>
  <c r="X12" i="24"/>
  <c r="Y12" i="24"/>
  <c r="Z12" i="24"/>
  <c r="AA12" i="24"/>
  <c r="AB12" i="24"/>
  <c r="AC12" i="24"/>
  <c r="AD12" i="24"/>
  <c r="AE12" i="24"/>
  <c r="AF12" i="24"/>
  <c r="AG12" i="24"/>
  <c r="AH12" i="24"/>
  <c r="AI12" i="24"/>
  <c r="AJ12" i="24"/>
  <c r="AK12" i="24"/>
  <c r="AL12" i="24"/>
  <c r="AM12" i="24"/>
  <c r="AN12" i="24"/>
  <c r="AO12" i="24"/>
  <c r="AP12" i="24"/>
  <c r="AQ12" i="24"/>
  <c r="AR12" i="24"/>
  <c r="AS12" i="24"/>
  <c r="AT12" i="24"/>
  <c r="AU12" i="24"/>
  <c r="AV12" i="24"/>
  <c r="AW12" i="24"/>
  <c r="AY12" i="24"/>
  <c r="AZ12" i="24"/>
  <c r="BA12" i="24"/>
  <c r="BB12" i="24"/>
  <c r="BC12" i="24"/>
  <c r="BD12" i="24"/>
  <c r="BE12" i="24"/>
  <c r="BF12" i="24"/>
  <c r="BG12" i="24"/>
  <c r="BH12" i="24"/>
  <c r="BI12" i="24"/>
  <c r="BJ12" i="24"/>
  <c r="BK12" i="24"/>
  <c r="BL12" i="24"/>
  <c r="BM12" i="24"/>
  <c r="BN12" i="24"/>
  <c r="BO12" i="24"/>
  <c r="BP12" i="24"/>
  <c r="BQ12" i="24"/>
  <c r="BR12" i="24"/>
  <c r="BS12" i="24"/>
  <c r="BT12" i="24"/>
  <c r="BU12" i="24"/>
  <c r="BV12" i="24"/>
  <c r="BX12" i="24"/>
  <c r="BY12" i="24"/>
  <c r="BZ12" i="24"/>
  <c r="CA12" i="24"/>
  <c r="CB12" i="24"/>
  <c r="CC12" i="24"/>
  <c r="CD12" i="24"/>
  <c r="CE12" i="24"/>
  <c r="A13" i="24"/>
  <c r="B13" i="24"/>
  <c r="C13" i="24"/>
  <c r="D13" i="24"/>
  <c r="E13" i="24"/>
  <c r="F13" i="24"/>
  <c r="G13" i="24"/>
  <c r="H13" i="24"/>
  <c r="I13" i="24"/>
  <c r="J13" i="24"/>
  <c r="K13" i="24"/>
  <c r="L13" i="24"/>
  <c r="M13" i="24"/>
  <c r="N13" i="24"/>
  <c r="O13" i="24"/>
  <c r="P13" i="24"/>
  <c r="Q13" i="24"/>
  <c r="R13" i="24"/>
  <c r="S13" i="24"/>
  <c r="T13" i="24"/>
  <c r="U13" i="24"/>
  <c r="V13" i="24"/>
  <c r="W13" i="24"/>
  <c r="X13" i="24"/>
  <c r="Y13" i="24"/>
  <c r="Z13" i="24"/>
  <c r="AA13" i="24"/>
  <c r="AB13" i="24"/>
  <c r="AC13" i="24"/>
  <c r="AD13" i="24"/>
  <c r="AE13" i="24"/>
  <c r="AF13" i="24"/>
  <c r="AG13" i="24"/>
  <c r="AH13" i="24"/>
  <c r="AI13" i="24"/>
  <c r="AJ13" i="24"/>
  <c r="AK13" i="24"/>
  <c r="AL13" i="24"/>
  <c r="AM13" i="24"/>
  <c r="AN13" i="24"/>
  <c r="AO13" i="24"/>
  <c r="AP13" i="24"/>
  <c r="AQ13" i="24"/>
  <c r="AR13" i="24"/>
  <c r="AS13" i="24"/>
  <c r="AT13" i="24"/>
  <c r="AU13" i="24"/>
  <c r="AV13" i="24"/>
  <c r="AW13" i="24"/>
  <c r="AY13" i="24"/>
  <c r="AZ13" i="24"/>
  <c r="BA13" i="24"/>
  <c r="BB13" i="24"/>
  <c r="BC13" i="24"/>
  <c r="BD13" i="24"/>
  <c r="BE13" i="24"/>
  <c r="BF13" i="24"/>
  <c r="BG13" i="24"/>
  <c r="BH13" i="24"/>
  <c r="BI13" i="24"/>
  <c r="BJ13" i="24"/>
  <c r="BK13" i="24"/>
  <c r="BL13" i="24"/>
  <c r="BM13" i="24"/>
  <c r="BN13" i="24"/>
  <c r="BO13" i="24"/>
  <c r="BP13" i="24"/>
  <c r="BQ13" i="24"/>
  <c r="BR13" i="24"/>
  <c r="BS13" i="24"/>
  <c r="BT13" i="24"/>
  <c r="BU13" i="24"/>
  <c r="BV13" i="24"/>
  <c r="BX13" i="24"/>
  <c r="BY13" i="24"/>
  <c r="BZ13" i="24"/>
  <c r="CA13" i="24"/>
  <c r="CB13" i="24"/>
  <c r="CC13" i="24"/>
  <c r="CD13" i="24"/>
  <c r="CE13" i="24"/>
  <c r="A14" i="24"/>
  <c r="B14" i="24"/>
  <c r="C14" i="24"/>
  <c r="D14" i="24"/>
  <c r="E14" i="24"/>
  <c r="F14" i="24"/>
  <c r="G14" i="24"/>
  <c r="H14" i="24"/>
  <c r="I14" i="24"/>
  <c r="J14" i="24"/>
  <c r="K14" i="24"/>
  <c r="L14" i="24"/>
  <c r="M14" i="24"/>
  <c r="N14" i="24"/>
  <c r="O14" i="24"/>
  <c r="P14" i="24"/>
  <c r="Q14" i="24"/>
  <c r="R14" i="24"/>
  <c r="S14" i="24"/>
  <c r="T14" i="24"/>
  <c r="U14" i="24"/>
  <c r="V14" i="24"/>
  <c r="W14" i="24"/>
  <c r="X14" i="24"/>
  <c r="Y14" i="24"/>
  <c r="Z14" i="24"/>
  <c r="AA14" i="24"/>
  <c r="AB14" i="24"/>
  <c r="AC14" i="24"/>
  <c r="AD14" i="24"/>
  <c r="AE14" i="24"/>
  <c r="AF14" i="24"/>
  <c r="AG14" i="24"/>
  <c r="AH14" i="24"/>
  <c r="AI14" i="24"/>
  <c r="AJ14" i="24"/>
  <c r="AK14" i="24"/>
  <c r="AL14" i="24"/>
  <c r="AM14" i="24"/>
  <c r="AN14" i="24"/>
  <c r="AO14" i="24"/>
  <c r="AP14" i="24"/>
  <c r="AQ14" i="24"/>
  <c r="AR14" i="24"/>
  <c r="AS14" i="24"/>
  <c r="AT14" i="24"/>
  <c r="AU14" i="24"/>
  <c r="AV14" i="24"/>
  <c r="AW14" i="24"/>
  <c r="AY14" i="24"/>
  <c r="AZ14" i="24"/>
  <c r="BA14" i="24"/>
  <c r="BB14" i="24"/>
  <c r="BC14" i="24"/>
  <c r="BD14" i="24"/>
  <c r="BE14" i="24"/>
  <c r="BF14" i="24"/>
  <c r="BG14" i="24"/>
  <c r="BH14" i="24"/>
  <c r="BI14" i="24"/>
  <c r="BJ14" i="24"/>
  <c r="BK14" i="24"/>
  <c r="BL14" i="24"/>
  <c r="BM14" i="24"/>
  <c r="BN14" i="24"/>
  <c r="BO14" i="24"/>
  <c r="BP14" i="24"/>
  <c r="BQ14" i="24"/>
  <c r="BR14" i="24"/>
  <c r="BS14" i="24"/>
  <c r="BT14" i="24"/>
  <c r="BU14" i="24"/>
  <c r="BV14" i="24"/>
  <c r="BX14" i="24"/>
  <c r="BY14" i="24"/>
  <c r="BZ14" i="24"/>
  <c r="CA14" i="24"/>
  <c r="CB14" i="24"/>
  <c r="CC14" i="24"/>
  <c r="CD14" i="24"/>
  <c r="CE14" i="24"/>
  <c r="A15" i="24"/>
  <c r="B15" i="24"/>
  <c r="C15" i="24"/>
  <c r="D15" i="24"/>
  <c r="E15" i="24"/>
  <c r="F15" i="24"/>
  <c r="G15" i="24"/>
  <c r="H15" i="24"/>
  <c r="I15" i="24"/>
  <c r="J15" i="24"/>
  <c r="K15" i="24"/>
  <c r="L15" i="24"/>
  <c r="M15" i="24"/>
  <c r="N15" i="24"/>
  <c r="O15" i="24"/>
  <c r="P15" i="24"/>
  <c r="Q15" i="24"/>
  <c r="R15" i="24"/>
  <c r="S15" i="24"/>
  <c r="T15" i="24"/>
  <c r="U15" i="24"/>
  <c r="V15" i="24"/>
  <c r="W15" i="24"/>
  <c r="X15" i="24"/>
  <c r="Y15" i="24"/>
  <c r="Z15" i="24"/>
  <c r="AA15" i="24"/>
  <c r="AB15" i="24"/>
  <c r="AC15" i="24"/>
  <c r="AD15" i="24"/>
  <c r="AE15" i="24"/>
  <c r="AF15" i="24"/>
  <c r="AG15" i="24"/>
  <c r="AH15" i="24"/>
  <c r="AI15" i="24"/>
  <c r="AJ15" i="24"/>
  <c r="AK15" i="24"/>
  <c r="AL15" i="24"/>
  <c r="AM15" i="24"/>
  <c r="AN15" i="24"/>
  <c r="AO15" i="24"/>
  <c r="AP15" i="24"/>
  <c r="AQ15" i="24"/>
  <c r="AR15" i="24"/>
  <c r="AS15" i="24"/>
  <c r="AT15" i="24"/>
  <c r="AU15" i="24"/>
  <c r="AV15" i="24"/>
  <c r="AW15" i="24"/>
  <c r="AY15" i="24"/>
  <c r="AZ15" i="24"/>
  <c r="BA15" i="24"/>
  <c r="BB15" i="24"/>
  <c r="BC15" i="24"/>
  <c r="BD15" i="24"/>
  <c r="BE15" i="24"/>
  <c r="BF15" i="24"/>
  <c r="BG15" i="24"/>
  <c r="BH15" i="24"/>
  <c r="BI15" i="24"/>
  <c r="BJ15" i="24"/>
  <c r="BK15" i="24"/>
  <c r="BL15" i="24"/>
  <c r="BM15" i="24"/>
  <c r="BN15" i="24"/>
  <c r="BO15" i="24"/>
  <c r="BP15" i="24"/>
  <c r="BQ15" i="24"/>
  <c r="BR15" i="24"/>
  <c r="BS15" i="24"/>
  <c r="BT15" i="24"/>
  <c r="BU15" i="24"/>
  <c r="BV15" i="24"/>
  <c r="BX15" i="24"/>
  <c r="BY15" i="24"/>
  <c r="BZ15" i="24"/>
  <c r="CA15" i="24"/>
  <c r="CB15" i="24"/>
  <c r="CC15" i="24"/>
  <c r="CD15" i="24"/>
  <c r="CE15" i="24"/>
  <c r="A16" i="24"/>
  <c r="B16" i="24"/>
  <c r="C16" i="24"/>
  <c r="D16" i="24"/>
  <c r="E16" i="24"/>
  <c r="F16" i="24"/>
  <c r="G16" i="24"/>
  <c r="H16" i="24"/>
  <c r="I16" i="24"/>
  <c r="J16" i="24"/>
  <c r="K16" i="24"/>
  <c r="L16" i="24"/>
  <c r="M16" i="24"/>
  <c r="N16" i="24"/>
  <c r="O16" i="24"/>
  <c r="P16" i="24"/>
  <c r="Q16" i="24"/>
  <c r="R16" i="24"/>
  <c r="S16" i="24"/>
  <c r="T16" i="24"/>
  <c r="U16" i="24"/>
  <c r="V16" i="24"/>
  <c r="W16" i="24"/>
  <c r="X16" i="24"/>
  <c r="Y16" i="24"/>
  <c r="Z16" i="24"/>
  <c r="AA16" i="24"/>
  <c r="AB16" i="24"/>
  <c r="AC16" i="24"/>
  <c r="AD16" i="24"/>
  <c r="AE16" i="24"/>
  <c r="AF16" i="24"/>
  <c r="AG16" i="24"/>
  <c r="AH16" i="24"/>
  <c r="AI16" i="24"/>
  <c r="AJ16" i="24"/>
  <c r="AK16" i="24"/>
  <c r="AL16" i="24"/>
  <c r="AM16" i="24"/>
  <c r="AN16" i="24"/>
  <c r="AO16" i="24"/>
  <c r="AP16" i="24"/>
  <c r="AQ16" i="24"/>
  <c r="AR16" i="24"/>
  <c r="AS16" i="24"/>
  <c r="AT16" i="24"/>
  <c r="AU16" i="24"/>
  <c r="AV16" i="24"/>
  <c r="AW16" i="24"/>
  <c r="AY16" i="24"/>
  <c r="AZ16" i="24"/>
  <c r="BA16" i="24"/>
  <c r="BB16" i="24"/>
  <c r="BC16" i="24"/>
  <c r="BD16" i="24"/>
  <c r="BE16" i="24"/>
  <c r="BF16" i="24"/>
  <c r="BG16" i="24"/>
  <c r="BH16" i="24"/>
  <c r="BI16" i="24"/>
  <c r="BJ16" i="24"/>
  <c r="BK16" i="24"/>
  <c r="BL16" i="24"/>
  <c r="BM16" i="24"/>
  <c r="BN16" i="24"/>
  <c r="BO16" i="24"/>
  <c r="BP16" i="24"/>
  <c r="BQ16" i="24"/>
  <c r="BR16" i="24"/>
  <c r="BS16" i="24"/>
  <c r="BT16" i="24"/>
  <c r="BU16" i="24"/>
  <c r="BV16" i="24"/>
  <c r="BX16" i="24"/>
  <c r="BY16" i="24"/>
  <c r="BZ16" i="24"/>
  <c r="CA16" i="24"/>
  <c r="CB16" i="24"/>
  <c r="CC16" i="24"/>
  <c r="CD16" i="24"/>
  <c r="CE16" i="24"/>
  <c r="A17" i="24"/>
  <c r="B17" i="24"/>
  <c r="C17" i="24"/>
  <c r="D17" i="24"/>
  <c r="E17" i="24"/>
  <c r="F17" i="24"/>
  <c r="G17" i="24"/>
  <c r="H17" i="24"/>
  <c r="I17" i="24"/>
  <c r="J17" i="24"/>
  <c r="K17" i="24"/>
  <c r="L17" i="24"/>
  <c r="M17" i="24"/>
  <c r="N17" i="24"/>
  <c r="O17" i="24"/>
  <c r="P17" i="24"/>
  <c r="Q17" i="24"/>
  <c r="R17" i="24"/>
  <c r="S17" i="24"/>
  <c r="T17" i="24"/>
  <c r="U17" i="24"/>
  <c r="V17" i="24"/>
  <c r="W17" i="24"/>
  <c r="X17" i="24"/>
  <c r="Y17" i="24"/>
  <c r="Z17" i="24"/>
  <c r="AA17" i="24"/>
  <c r="AB17" i="24"/>
  <c r="AC17" i="24"/>
  <c r="AD17" i="24"/>
  <c r="AE17" i="24"/>
  <c r="AF17" i="24"/>
  <c r="AG17" i="24"/>
  <c r="AH17" i="24"/>
  <c r="AI17" i="24"/>
  <c r="AJ17" i="24"/>
  <c r="AK17" i="24"/>
  <c r="AL17" i="24"/>
  <c r="AM17" i="24"/>
  <c r="AN17" i="24"/>
  <c r="AO17" i="24"/>
  <c r="AP17" i="24"/>
  <c r="AQ17" i="24"/>
  <c r="AR17" i="24"/>
  <c r="AS17" i="24"/>
  <c r="AT17" i="24"/>
  <c r="AU17" i="24"/>
  <c r="AV17" i="24"/>
  <c r="AW17" i="24"/>
  <c r="AY17" i="24"/>
  <c r="AZ17" i="24"/>
  <c r="BA17" i="24"/>
  <c r="BB17" i="24"/>
  <c r="BC17" i="24"/>
  <c r="BD17" i="24"/>
  <c r="BE17" i="24"/>
  <c r="BF17" i="24"/>
  <c r="BG17" i="24"/>
  <c r="BH17" i="24"/>
  <c r="BI17" i="24"/>
  <c r="BJ17" i="24"/>
  <c r="BK17" i="24"/>
  <c r="BL17" i="24"/>
  <c r="BM17" i="24"/>
  <c r="BN17" i="24"/>
  <c r="BO17" i="24"/>
  <c r="BP17" i="24"/>
  <c r="BQ17" i="24"/>
  <c r="BR17" i="24"/>
  <c r="BS17" i="24"/>
  <c r="BT17" i="24"/>
  <c r="BU17" i="24"/>
  <c r="BV17" i="24"/>
  <c r="BX17" i="24"/>
  <c r="BY17" i="24"/>
  <c r="BZ17" i="24"/>
  <c r="CA17" i="24"/>
  <c r="CB17" i="24"/>
  <c r="CC17" i="24"/>
  <c r="CD17" i="24"/>
  <c r="CE17" i="24"/>
  <c r="A18" i="24"/>
  <c r="B18" i="24"/>
  <c r="C18" i="24"/>
  <c r="D18" i="24"/>
  <c r="E18" i="24"/>
  <c r="F18" i="24"/>
  <c r="G18" i="24"/>
  <c r="H18" i="24"/>
  <c r="I18" i="24"/>
  <c r="J18" i="24"/>
  <c r="K18" i="24"/>
  <c r="L18" i="24"/>
  <c r="M18" i="24"/>
  <c r="N18" i="24"/>
  <c r="O18" i="24"/>
  <c r="P18" i="24"/>
  <c r="Q18" i="24"/>
  <c r="R18" i="24"/>
  <c r="S18" i="24"/>
  <c r="T18" i="24"/>
  <c r="U18" i="24"/>
  <c r="V18" i="24"/>
  <c r="W18" i="24"/>
  <c r="X18" i="24"/>
  <c r="Y18" i="24"/>
  <c r="Z18" i="24"/>
  <c r="AA18" i="24"/>
  <c r="AB18" i="24"/>
  <c r="AC18" i="24"/>
  <c r="AD18" i="24"/>
  <c r="AE18" i="24"/>
  <c r="AF18" i="24"/>
  <c r="AG18" i="24"/>
  <c r="AH18" i="24"/>
  <c r="AI18" i="24"/>
  <c r="AJ18" i="24"/>
  <c r="AK18" i="24"/>
  <c r="AL18" i="24"/>
  <c r="AM18" i="24"/>
  <c r="AN18" i="24"/>
  <c r="AO18" i="24"/>
  <c r="AP18" i="24"/>
  <c r="AQ18" i="24"/>
  <c r="AR18" i="24"/>
  <c r="AS18" i="24"/>
  <c r="AT18" i="24"/>
  <c r="AU18" i="24"/>
  <c r="AV18" i="24"/>
  <c r="AW18" i="24"/>
  <c r="AY18" i="24"/>
  <c r="AZ18" i="24"/>
  <c r="BA18" i="24"/>
  <c r="BB18" i="24"/>
  <c r="BC18" i="24"/>
  <c r="BD18" i="24"/>
  <c r="BE18" i="24"/>
  <c r="BF18" i="24"/>
  <c r="BG18" i="24"/>
  <c r="BH18" i="24"/>
  <c r="BI18" i="24"/>
  <c r="BJ18" i="24"/>
  <c r="BK18" i="24"/>
  <c r="BL18" i="24"/>
  <c r="BM18" i="24"/>
  <c r="BN18" i="24"/>
  <c r="BO18" i="24"/>
  <c r="BP18" i="24"/>
  <c r="BQ18" i="24"/>
  <c r="BR18" i="24"/>
  <c r="BS18" i="24"/>
  <c r="BT18" i="24"/>
  <c r="BU18" i="24"/>
  <c r="BV18" i="24"/>
  <c r="BX18" i="24"/>
  <c r="BY18" i="24"/>
  <c r="BZ18" i="24"/>
  <c r="CA18" i="24"/>
  <c r="CB18" i="24"/>
  <c r="CC18" i="24"/>
  <c r="CD18" i="24"/>
  <c r="CE18" i="24"/>
  <c r="A19" i="24"/>
  <c r="B19" i="24"/>
  <c r="C19" i="24"/>
  <c r="D19" i="24"/>
  <c r="E19" i="24"/>
  <c r="F19" i="24"/>
  <c r="G19" i="24"/>
  <c r="H19" i="24"/>
  <c r="I19" i="24"/>
  <c r="J19" i="24"/>
  <c r="K19" i="24"/>
  <c r="L19" i="24"/>
  <c r="M19" i="24"/>
  <c r="N19" i="24"/>
  <c r="O19" i="24"/>
  <c r="P19" i="24"/>
  <c r="Q19" i="24"/>
  <c r="R19" i="24"/>
  <c r="S19" i="24"/>
  <c r="T19" i="24"/>
  <c r="U19" i="24"/>
  <c r="V19" i="24"/>
  <c r="W19" i="24"/>
  <c r="X19" i="24"/>
  <c r="Y19" i="24"/>
  <c r="Z19" i="24"/>
  <c r="AA19" i="24"/>
  <c r="AB19" i="24"/>
  <c r="AC19" i="24"/>
  <c r="AD19" i="24"/>
  <c r="AE19" i="24"/>
  <c r="AF19" i="24"/>
  <c r="AG19" i="24"/>
  <c r="AH19" i="24"/>
  <c r="AI19" i="24"/>
  <c r="AJ19" i="24"/>
  <c r="AK19" i="24"/>
  <c r="AL19" i="24"/>
  <c r="AM19" i="24"/>
  <c r="AN19" i="24"/>
  <c r="AO19" i="24"/>
  <c r="AP19" i="24"/>
  <c r="AQ19" i="24"/>
  <c r="AR19" i="24"/>
  <c r="AS19" i="24"/>
  <c r="AT19" i="24"/>
  <c r="AU19" i="24"/>
  <c r="AV19" i="24"/>
  <c r="AW19" i="24"/>
  <c r="AY19" i="24"/>
  <c r="AZ19" i="24"/>
  <c r="BA19" i="24"/>
  <c r="BB19" i="24"/>
  <c r="BC19" i="24"/>
  <c r="BD19" i="24"/>
  <c r="BE19" i="24"/>
  <c r="BF19" i="24"/>
  <c r="BG19" i="24"/>
  <c r="BH19" i="24"/>
  <c r="BI19" i="24"/>
  <c r="BJ19" i="24"/>
  <c r="BK19" i="24"/>
  <c r="BL19" i="24"/>
  <c r="BM19" i="24"/>
  <c r="BN19" i="24"/>
  <c r="BO19" i="24"/>
  <c r="BP19" i="24"/>
  <c r="BQ19" i="24"/>
  <c r="BR19" i="24"/>
  <c r="BS19" i="24"/>
  <c r="BT19" i="24"/>
  <c r="BU19" i="24"/>
  <c r="BV19" i="24"/>
  <c r="BX19" i="24"/>
  <c r="BY19" i="24"/>
  <c r="BZ19" i="24"/>
  <c r="CA19" i="24"/>
  <c r="CB19" i="24"/>
  <c r="CC19" i="24"/>
  <c r="CD19" i="24"/>
  <c r="CE19" i="24"/>
  <c r="A20" i="24"/>
  <c r="B20" i="24"/>
  <c r="C20" i="24"/>
  <c r="D20" i="24"/>
  <c r="E20" i="24"/>
  <c r="F20" i="24"/>
  <c r="G20" i="24"/>
  <c r="H20" i="24"/>
  <c r="I20" i="24"/>
  <c r="J20" i="24"/>
  <c r="K20" i="24"/>
  <c r="L20" i="24"/>
  <c r="M20" i="24"/>
  <c r="N20" i="24"/>
  <c r="O20" i="24"/>
  <c r="P20" i="24"/>
  <c r="Q20" i="24"/>
  <c r="R20" i="24"/>
  <c r="S20" i="24"/>
  <c r="T20" i="24"/>
  <c r="U20" i="24"/>
  <c r="V20" i="24"/>
  <c r="W20" i="24"/>
  <c r="X20" i="24"/>
  <c r="Y20" i="24"/>
  <c r="Z20" i="24"/>
  <c r="AA20" i="24"/>
  <c r="AB20" i="24"/>
  <c r="AC20" i="24"/>
  <c r="AD20" i="24"/>
  <c r="AE20" i="24"/>
  <c r="AF20" i="24"/>
  <c r="AG20" i="24"/>
  <c r="AH20" i="24"/>
  <c r="AI20" i="24"/>
  <c r="AJ20" i="24"/>
  <c r="AK20" i="24"/>
  <c r="AL20" i="24"/>
  <c r="AM20" i="24"/>
  <c r="AN20" i="24"/>
  <c r="AO20" i="24"/>
  <c r="AP20" i="24"/>
  <c r="AQ20" i="24"/>
  <c r="AR20" i="24"/>
  <c r="AS20" i="24"/>
  <c r="AT20" i="24"/>
  <c r="AU20" i="24"/>
  <c r="AV20" i="24"/>
  <c r="AW20" i="24"/>
  <c r="AY20" i="24"/>
  <c r="AZ20" i="24"/>
  <c r="BA20" i="24"/>
  <c r="BB20" i="24"/>
  <c r="BC20" i="24"/>
  <c r="BD20" i="24"/>
  <c r="BE20" i="24"/>
  <c r="BF20" i="24"/>
  <c r="BG20" i="24"/>
  <c r="BH20" i="24"/>
  <c r="BI20" i="24"/>
  <c r="BJ20" i="24"/>
  <c r="BK20" i="24"/>
  <c r="BL20" i="24"/>
  <c r="BM20" i="24"/>
  <c r="BN20" i="24"/>
  <c r="BO20" i="24"/>
  <c r="BP20" i="24"/>
  <c r="BQ20" i="24"/>
  <c r="BR20" i="24"/>
  <c r="BS20" i="24"/>
  <c r="BT20" i="24"/>
  <c r="BU20" i="24"/>
  <c r="BV20" i="24"/>
  <c r="BX20" i="24"/>
  <c r="BY20" i="24"/>
  <c r="BZ20" i="24"/>
  <c r="CA20" i="24"/>
  <c r="CB20" i="24"/>
  <c r="CC20" i="24"/>
  <c r="CD20" i="24"/>
  <c r="CE20" i="24"/>
  <c r="A21" i="24"/>
  <c r="B21" i="24"/>
  <c r="C21" i="24"/>
  <c r="D21" i="24"/>
  <c r="E21" i="24"/>
  <c r="F21" i="24"/>
  <c r="G21" i="24"/>
  <c r="H21" i="24"/>
  <c r="I21" i="24"/>
  <c r="J21" i="24"/>
  <c r="K21" i="24"/>
  <c r="L21" i="24"/>
  <c r="M21" i="24"/>
  <c r="N21" i="24"/>
  <c r="O21" i="24"/>
  <c r="P21" i="24"/>
  <c r="Q21" i="24"/>
  <c r="R21" i="24"/>
  <c r="S21" i="24"/>
  <c r="T21" i="24"/>
  <c r="U21" i="24"/>
  <c r="V21" i="24"/>
  <c r="W21" i="24"/>
  <c r="X21" i="24"/>
  <c r="Y21" i="24"/>
  <c r="Z21" i="24"/>
  <c r="AA21" i="24"/>
  <c r="AB21" i="24"/>
  <c r="AC21" i="24"/>
  <c r="AD21" i="24"/>
  <c r="AE21" i="24"/>
  <c r="AF21" i="24"/>
  <c r="AG21" i="24"/>
  <c r="AH21" i="24"/>
  <c r="AI21" i="24"/>
  <c r="AJ21" i="24"/>
  <c r="AK21" i="24"/>
  <c r="AL21" i="24"/>
  <c r="AM21" i="24"/>
  <c r="AN21" i="24"/>
  <c r="AO21" i="24"/>
  <c r="AP21" i="24"/>
  <c r="AQ21" i="24"/>
  <c r="AR21" i="24"/>
  <c r="AS21" i="24"/>
  <c r="AT21" i="24"/>
  <c r="AU21" i="24"/>
  <c r="AV21" i="24"/>
  <c r="AW21" i="24"/>
  <c r="AY21" i="24"/>
  <c r="AZ21" i="24"/>
  <c r="BA21" i="24"/>
  <c r="BB21" i="24"/>
  <c r="BC21" i="24"/>
  <c r="BD21" i="24"/>
  <c r="BE21" i="24"/>
  <c r="BF21" i="24"/>
  <c r="BG21" i="24"/>
  <c r="BH21" i="24"/>
  <c r="BI21" i="24"/>
  <c r="BJ21" i="24"/>
  <c r="BK21" i="24"/>
  <c r="BL21" i="24"/>
  <c r="BM21" i="24"/>
  <c r="BN21" i="24"/>
  <c r="BO21" i="24"/>
  <c r="BP21" i="24"/>
  <c r="BQ21" i="24"/>
  <c r="BR21" i="24"/>
  <c r="BS21" i="24"/>
  <c r="BT21" i="24"/>
  <c r="BU21" i="24"/>
  <c r="BV21" i="24"/>
  <c r="BX21" i="24"/>
  <c r="BY21" i="24"/>
  <c r="BZ21" i="24"/>
  <c r="CA21" i="24"/>
  <c r="CB21" i="24"/>
  <c r="CC21" i="24"/>
  <c r="CD21" i="24"/>
  <c r="CE21" i="24"/>
  <c r="A22" i="24"/>
  <c r="B22" i="24"/>
  <c r="C22" i="24"/>
  <c r="D22" i="24"/>
  <c r="E22" i="24"/>
  <c r="F22" i="24"/>
  <c r="G22" i="24"/>
  <c r="H22" i="24"/>
  <c r="I22" i="24"/>
  <c r="J22" i="24"/>
  <c r="K22" i="24"/>
  <c r="L22" i="24"/>
  <c r="M22" i="24"/>
  <c r="N22" i="24"/>
  <c r="O22" i="24"/>
  <c r="P22" i="24"/>
  <c r="Q22" i="24"/>
  <c r="R22" i="24"/>
  <c r="S22" i="24"/>
  <c r="T22" i="24"/>
  <c r="U22" i="24"/>
  <c r="V22" i="24"/>
  <c r="W22" i="24"/>
  <c r="X22" i="24"/>
  <c r="Y22" i="24"/>
  <c r="Z22" i="24"/>
  <c r="AA22" i="24"/>
  <c r="AB22" i="24"/>
  <c r="AC22" i="24"/>
  <c r="AD22" i="24"/>
  <c r="AE22" i="24"/>
  <c r="AF22" i="24"/>
  <c r="AG22" i="24"/>
  <c r="AH22" i="24"/>
  <c r="AI22" i="24"/>
  <c r="AJ22" i="24"/>
  <c r="AK22" i="24"/>
  <c r="AL22" i="24"/>
  <c r="AM22" i="24"/>
  <c r="AN22" i="24"/>
  <c r="AO22" i="24"/>
  <c r="AP22" i="24"/>
  <c r="AQ22" i="24"/>
  <c r="AR22" i="24"/>
  <c r="AS22" i="24"/>
  <c r="AT22" i="24"/>
  <c r="AU22" i="24"/>
  <c r="AV22" i="24"/>
  <c r="AW22" i="24"/>
  <c r="AY22" i="24"/>
  <c r="AZ22" i="24"/>
  <c r="BA22" i="24"/>
  <c r="BB22" i="24"/>
  <c r="BC22" i="24"/>
  <c r="BD22" i="24"/>
  <c r="BE22" i="24"/>
  <c r="BF22" i="24"/>
  <c r="BG22" i="24"/>
  <c r="BH22" i="24"/>
  <c r="BI22" i="24"/>
  <c r="BJ22" i="24"/>
  <c r="BK22" i="24"/>
  <c r="BL22" i="24"/>
  <c r="BM22" i="24"/>
  <c r="BN22" i="24"/>
  <c r="BO22" i="24"/>
  <c r="BP22" i="24"/>
  <c r="BQ22" i="24"/>
  <c r="BR22" i="24"/>
  <c r="BS22" i="24"/>
  <c r="BT22" i="24"/>
  <c r="BU22" i="24"/>
  <c r="BV22" i="24"/>
  <c r="BX22" i="24"/>
  <c r="BY22" i="24"/>
  <c r="BZ22" i="24"/>
  <c r="CA22" i="24"/>
  <c r="CB22" i="24"/>
  <c r="CC22" i="24"/>
  <c r="CD22" i="24"/>
  <c r="CE22" i="24"/>
  <c r="A23" i="24"/>
  <c r="B23" i="24"/>
  <c r="C23" i="24"/>
  <c r="D23" i="24"/>
  <c r="E23" i="24"/>
  <c r="F23" i="24"/>
  <c r="G23" i="24"/>
  <c r="H23" i="24"/>
  <c r="I23" i="24"/>
  <c r="J23" i="24"/>
  <c r="K23" i="24"/>
  <c r="L23" i="24"/>
  <c r="M23" i="24"/>
  <c r="N23" i="24"/>
  <c r="O23" i="24"/>
  <c r="P23" i="24"/>
  <c r="Q23" i="24"/>
  <c r="R23" i="24"/>
  <c r="S23" i="24"/>
  <c r="T23" i="24"/>
  <c r="U23" i="24"/>
  <c r="V23" i="24"/>
  <c r="W23" i="24"/>
  <c r="X23" i="24"/>
  <c r="Y23" i="24"/>
  <c r="Z23" i="24"/>
  <c r="AA23" i="24"/>
  <c r="AB23" i="24"/>
  <c r="AC23" i="24"/>
  <c r="AD23" i="24"/>
  <c r="AE23" i="24"/>
  <c r="AF23" i="24"/>
  <c r="AG23" i="24"/>
  <c r="AH23" i="24"/>
  <c r="AI23" i="24"/>
  <c r="AJ23" i="24"/>
  <c r="AK23" i="24"/>
  <c r="AL23" i="24"/>
  <c r="AM23" i="24"/>
  <c r="AN23" i="24"/>
  <c r="AO23" i="24"/>
  <c r="AP23" i="24"/>
  <c r="AQ23" i="24"/>
  <c r="AR23" i="24"/>
  <c r="AS23" i="24"/>
  <c r="AT23" i="24"/>
  <c r="AU23" i="24"/>
  <c r="AV23" i="24"/>
  <c r="AW23" i="24"/>
  <c r="AY23" i="24"/>
  <c r="AZ23" i="24"/>
  <c r="BA23" i="24"/>
  <c r="BB23" i="24"/>
  <c r="BC23" i="24"/>
  <c r="BD23" i="24"/>
  <c r="BE23" i="24"/>
  <c r="BF23" i="24"/>
  <c r="BG23" i="24"/>
  <c r="BH23" i="24"/>
  <c r="BI23" i="24"/>
  <c r="BJ23" i="24"/>
  <c r="BK23" i="24"/>
  <c r="BL23" i="24"/>
  <c r="BM23" i="24"/>
  <c r="BN23" i="24"/>
  <c r="BO23" i="24"/>
  <c r="BP23" i="24"/>
  <c r="BQ23" i="24"/>
  <c r="BR23" i="24"/>
  <c r="BS23" i="24"/>
  <c r="BT23" i="24"/>
  <c r="BU23" i="24"/>
  <c r="BV23" i="24"/>
  <c r="BX23" i="24"/>
  <c r="BY23" i="24"/>
  <c r="BZ23" i="24"/>
  <c r="CA23" i="24"/>
  <c r="CB23" i="24"/>
  <c r="CC23" i="24"/>
  <c r="CD23" i="24"/>
  <c r="CE23" i="24"/>
  <c r="A24" i="24"/>
  <c r="B24" i="24"/>
  <c r="C24" i="24"/>
  <c r="D24" i="24"/>
  <c r="E24" i="24"/>
  <c r="F24" i="24"/>
  <c r="G24" i="24"/>
  <c r="H24" i="24"/>
  <c r="I24" i="24"/>
  <c r="J24" i="24"/>
  <c r="K24" i="24"/>
  <c r="L24" i="24"/>
  <c r="M24" i="24"/>
  <c r="N24" i="24"/>
  <c r="O24" i="24"/>
  <c r="P24" i="24"/>
  <c r="Q24" i="24"/>
  <c r="R24" i="24"/>
  <c r="S24" i="24"/>
  <c r="T24" i="24"/>
  <c r="U24" i="24"/>
  <c r="V24" i="24"/>
  <c r="W24" i="24"/>
  <c r="X24" i="24"/>
  <c r="Y24" i="24"/>
  <c r="Z24" i="24"/>
  <c r="AA24" i="24"/>
  <c r="AB24" i="24"/>
  <c r="AC24" i="24"/>
  <c r="AD24" i="24"/>
  <c r="AE24" i="24"/>
  <c r="AF24" i="24"/>
  <c r="AG24" i="24"/>
  <c r="AH24" i="24"/>
  <c r="AI24" i="24"/>
  <c r="AJ24" i="24"/>
  <c r="AK24" i="24"/>
  <c r="AL24" i="24"/>
  <c r="AM24" i="24"/>
  <c r="AN24" i="24"/>
  <c r="AO24" i="24"/>
  <c r="AP24" i="24"/>
  <c r="AQ24" i="24"/>
  <c r="AR24" i="24"/>
  <c r="AS24" i="24"/>
  <c r="AT24" i="24"/>
  <c r="AU24" i="24"/>
  <c r="AV24" i="24"/>
  <c r="AW24" i="24"/>
  <c r="AY24" i="24"/>
  <c r="AZ24" i="24"/>
  <c r="BA24" i="24"/>
  <c r="BB24" i="24"/>
  <c r="BC24" i="24"/>
  <c r="BD24" i="24"/>
  <c r="BE24" i="24"/>
  <c r="BF24" i="24"/>
  <c r="BG24" i="24"/>
  <c r="BH24" i="24"/>
  <c r="BI24" i="24"/>
  <c r="BJ24" i="24"/>
  <c r="BK24" i="24"/>
  <c r="BL24" i="24"/>
  <c r="BM24" i="24"/>
  <c r="BN24" i="24"/>
  <c r="BO24" i="24"/>
  <c r="BP24" i="24"/>
  <c r="BQ24" i="24"/>
  <c r="BR24" i="24"/>
  <c r="BS24" i="24"/>
  <c r="BT24" i="24"/>
  <c r="BU24" i="24"/>
  <c r="BV24" i="24"/>
  <c r="BX24" i="24"/>
  <c r="BY24" i="24"/>
  <c r="BZ24" i="24"/>
  <c r="CA24" i="24"/>
  <c r="CB24" i="24"/>
  <c r="CC24" i="24"/>
  <c r="CD24" i="24"/>
  <c r="CE24" i="24"/>
  <c r="A25" i="24"/>
  <c r="B25" i="24"/>
  <c r="C25" i="24"/>
  <c r="D25" i="24"/>
  <c r="E25" i="24"/>
  <c r="F25" i="24"/>
  <c r="G25" i="24"/>
  <c r="H25" i="24"/>
  <c r="I25" i="24"/>
  <c r="J25" i="24"/>
  <c r="K25" i="24"/>
  <c r="L25" i="24"/>
  <c r="M25" i="24"/>
  <c r="N25" i="24"/>
  <c r="O25" i="24"/>
  <c r="P25" i="24"/>
  <c r="Q25" i="24"/>
  <c r="R25" i="24"/>
  <c r="S25" i="24"/>
  <c r="T25" i="24"/>
  <c r="U25" i="24"/>
  <c r="V25" i="24"/>
  <c r="W25" i="24"/>
  <c r="X25" i="24"/>
  <c r="Y25" i="24"/>
  <c r="Z25" i="24"/>
  <c r="AA25" i="24"/>
  <c r="AB25" i="24"/>
  <c r="AC25" i="24"/>
  <c r="AD25" i="24"/>
  <c r="AE25" i="24"/>
  <c r="AF25" i="24"/>
  <c r="AG25" i="24"/>
  <c r="AH25" i="24"/>
  <c r="AI25" i="24"/>
  <c r="AJ25" i="24"/>
  <c r="AK25" i="24"/>
  <c r="AL25" i="24"/>
  <c r="AM25" i="24"/>
  <c r="AN25" i="24"/>
  <c r="AO25" i="24"/>
  <c r="AP25" i="24"/>
  <c r="AQ25" i="24"/>
  <c r="AR25" i="24"/>
  <c r="AS25" i="24"/>
  <c r="AT25" i="24"/>
  <c r="AU25" i="24"/>
  <c r="AV25" i="24"/>
  <c r="AW25" i="24"/>
  <c r="AY25" i="24"/>
  <c r="AZ25" i="24"/>
  <c r="BA25" i="24"/>
  <c r="BB25" i="24"/>
  <c r="BC25" i="24"/>
  <c r="BD25" i="24"/>
  <c r="BE25" i="24"/>
  <c r="BF25" i="24"/>
  <c r="BG25" i="24"/>
  <c r="BH25" i="24"/>
  <c r="BI25" i="24"/>
  <c r="BJ25" i="24"/>
  <c r="BK25" i="24"/>
  <c r="BL25" i="24"/>
  <c r="BM25" i="24"/>
  <c r="BN25" i="24"/>
  <c r="BO25" i="24"/>
  <c r="BP25" i="24"/>
  <c r="BQ25" i="24"/>
  <c r="BR25" i="24"/>
  <c r="BS25" i="24"/>
  <c r="BT25" i="24"/>
  <c r="BU25" i="24"/>
  <c r="BV25" i="24"/>
  <c r="BX25" i="24"/>
  <c r="BY25" i="24"/>
  <c r="BZ25" i="24"/>
  <c r="CA25" i="24"/>
  <c r="CB25" i="24"/>
  <c r="CC25" i="24"/>
  <c r="CD25" i="24"/>
  <c r="CE25" i="24"/>
  <c r="A26" i="24"/>
  <c r="B26" i="24"/>
  <c r="C26" i="24"/>
  <c r="D26" i="24"/>
  <c r="E26" i="24"/>
  <c r="F26" i="24"/>
  <c r="G26" i="24"/>
  <c r="H26" i="24"/>
  <c r="I26" i="24"/>
  <c r="J26" i="24"/>
  <c r="K26" i="24"/>
  <c r="L26" i="24"/>
  <c r="M26" i="24"/>
  <c r="N26" i="24"/>
  <c r="O26" i="24"/>
  <c r="P26" i="24"/>
  <c r="Q26" i="24"/>
  <c r="R26" i="24"/>
  <c r="S26" i="24"/>
  <c r="T26" i="24"/>
  <c r="U26" i="24"/>
  <c r="V26" i="24"/>
  <c r="W26" i="24"/>
  <c r="X26" i="24"/>
  <c r="Y26" i="24"/>
  <c r="Z26" i="24"/>
  <c r="AA26" i="24"/>
  <c r="AB26" i="24"/>
  <c r="AC26" i="24"/>
  <c r="AD26" i="24"/>
  <c r="AE26" i="24"/>
  <c r="AF26" i="24"/>
  <c r="AG26" i="24"/>
  <c r="AH26" i="24"/>
  <c r="AI26" i="24"/>
  <c r="AJ26" i="24"/>
  <c r="AK26" i="24"/>
  <c r="AL26" i="24"/>
  <c r="AM26" i="24"/>
  <c r="AN26" i="24"/>
  <c r="AO26" i="24"/>
  <c r="AP26" i="24"/>
  <c r="AQ26" i="24"/>
  <c r="AR26" i="24"/>
  <c r="AS26" i="24"/>
  <c r="AT26" i="24"/>
  <c r="AU26" i="24"/>
  <c r="AV26" i="24"/>
  <c r="AW26" i="24"/>
  <c r="AY26" i="24"/>
  <c r="AZ26" i="24"/>
  <c r="BA26" i="24"/>
  <c r="BB26" i="24"/>
  <c r="BC26" i="24"/>
  <c r="BD26" i="24"/>
  <c r="BE26" i="24"/>
  <c r="BF26" i="24"/>
  <c r="BG26" i="24"/>
  <c r="BH26" i="24"/>
  <c r="BI26" i="24"/>
  <c r="BJ26" i="24"/>
  <c r="BK26" i="24"/>
  <c r="BL26" i="24"/>
  <c r="BM26" i="24"/>
  <c r="BN26" i="24"/>
  <c r="BO26" i="24"/>
  <c r="BP26" i="24"/>
  <c r="BQ26" i="24"/>
  <c r="BR26" i="24"/>
  <c r="BS26" i="24"/>
  <c r="BT26" i="24"/>
  <c r="BU26" i="24"/>
  <c r="BV26" i="24"/>
  <c r="BX26" i="24"/>
  <c r="BY26" i="24"/>
  <c r="BZ26" i="24"/>
  <c r="CA26" i="24"/>
  <c r="CB26" i="24"/>
  <c r="CC26" i="24"/>
  <c r="CD26" i="24"/>
  <c r="CE26" i="24"/>
  <c r="A27" i="24"/>
  <c r="B27" i="24"/>
  <c r="C27" i="24"/>
  <c r="D27" i="24"/>
  <c r="E27" i="24"/>
  <c r="F27" i="24"/>
  <c r="G27" i="24"/>
  <c r="H27" i="24"/>
  <c r="I27" i="24"/>
  <c r="J27" i="24"/>
  <c r="K27" i="24"/>
  <c r="L27" i="24"/>
  <c r="M27" i="24"/>
  <c r="N27" i="24"/>
  <c r="O27" i="24"/>
  <c r="P27" i="24"/>
  <c r="Q27" i="24"/>
  <c r="R27" i="24"/>
  <c r="S27" i="24"/>
  <c r="T27" i="24"/>
  <c r="U27" i="24"/>
  <c r="V27" i="24"/>
  <c r="W27" i="24"/>
  <c r="X27" i="24"/>
  <c r="Y27" i="24"/>
  <c r="Z27" i="24"/>
  <c r="AA27" i="24"/>
  <c r="AB27" i="24"/>
  <c r="AC27" i="24"/>
  <c r="AD27" i="24"/>
  <c r="AE27" i="24"/>
  <c r="AF27" i="24"/>
  <c r="AG27" i="24"/>
  <c r="AH27" i="24"/>
  <c r="AI27" i="24"/>
  <c r="AJ27" i="24"/>
  <c r="AK27" i="24"/>
  <c r="AL27" i="24"/>
  <c r="AM27" i="24"/>
  <c r="AN27" i="24"/>
  <c r="AO27" i="24"/>
  <c r="AP27" i="24"/>
  <c r="AQ27" i="24"/>
  <c r="AR27" i="24"/>
  <c r="AS27" i="24"/>
  <c r="AT27" i="24"/>
  <c r="AU27" i="24"/>
  <c r="AV27" i="24"/>
  <c r="AW27" i="24"/>
  <c r="AY27" i="24"/>
  <c r="AZ27" i="24"/>
  <c r="BA27" i="24"/>
  <c r="BB27" i="24"/>
  <c r="BC27" i="24"/>
  <c r="BD27" i="24"/>
  <c r="BE27" i="24"/>
  <c r="BF27" i="24"/>
  <c r="BG27" i="24"/>
  <c r="BH27" i="24"/>
  <c r="BI27" i="24"/>
  <c r="BJ27" i="24"/>
  <c r="BK27" i="24"/>
  <c r="BL27" i="24"/>
  <c r="BM27" i="24"/>
  <c r="BN27" i="24"/>
  <c r="BO27" i="24"/>
  <c r="BP27" i="24"/>
  <c r="BQ27" i="24"/>
  <c r="BR27" i="24"/>
  <c r="BS27" i="24"/>
  <c r="BT27" i="24"/>
  <c r="BU27" i="24"/>
  <c r="BV27" i="24"/>
  <c r="BX27" i="24"/>
  <c r="BY27" i="24"/>
  <c r="BZ27" i="24"/>
  <c r="CA27" i="24"/>
  <c r="CB27" i="24"/>
  <c r="CC27" i="24"/>
  <c r="CD27" i="24"/>
  <c r="CE27" i="24"/>
  <c r="A28" i="24"/>
  <c r="B28" i="24"/>
  <c r="C28" i="24"/>
  <c r="D28" i="24"/>
  <c r="E28" i="24"/>
  <c r="F28" i="24"/>
  <c r="G28" i="24"/>
  <c r="H28" i="24"/>
  <c r="I28" i="24"/>
  <c r="J28" i="24"/>
  <c r="K28" i="24"/>
  <c r="L28" i="24"/>
  <c r="M28" i="24"/>
  <c r="N28" i="24"/>
  <c r="O28" i="24"/>
  <c r="P28" i="24"/>
  <c r="Q28" i="24"/>
  <c r="R28" i="24"/>
  <c r="S28" i="24"/>
  <c r="T28" i="24"/>
  <c r="U28" i="24"/>
  <c r="V28" i="24"/>
  <c r="W28" i="24"/>
  <c r="X28" i="24"/>
  <c r="Y28" i="24"/>
  <c r="Z28" i="24"/>
  <c r="AA28" i="24"/>
  <c r="AB28" i="24"/>
  <c r="AC28" i="24"/>
  <c r="AD28" i="24"/>
  <c r="AE28" i="24"/>
  <c r="AF28" i="24"/>
  <c r="AG28" i="24"/>
  <c r="AH28" i="24"/>
  <c r="AI28" i="24"/>
  <c r="AJ28" i="24"/>
  <c r="AK28" i="24"/>
  <c r="AL28" i="24"/>
  <c r="AM28" i="24"/>
  <c r="AN28" i="24"/>
  <c r="AO28" i="24"/>
  <c r="AP28" i="24"/>
  <c r="AQ28" i="24"/>
  <c r="AR28" i="24"/>
  <c r="AS28" i="24"/>
  <c r="AT28" i="24"/>
  <c r="AU28" i="24"/>
  <c r="AV28" i="24"/>
  <c r="AW28" i="24"/>
  <c r="AY28" i="24"/>
  <c r="AZ28" i="24"/>
  <c r="BA28" i="24"/>
  <c r="BB28" i="24"/>
  <c r="BC28" i="24"/>
  <c r="BD28" i="24"/>
  <c r="BE28" i="24"/>
  <c r="BF28" i="24"/>
  <c r="BG28" i="24"/>
  <c r="BH28" i="24"/>
  <c r="BI28" i="24"/>
  <c r="BJ28" i="24"/>
  <c r="BK28" i="24"/>
  <c r="BL28" i="24"/>
  <c r="BM28" i="24"/>
  <c r="BN28" i="24"/>
  <c r="BO28" i="24"/>
  <c r="BP28" i="24"/>
  <c r="BQ28" i="24"/>
  <c r="BR28" i="24"/>
  <c r="BS28" i="24"/>
  <c r="BT28" i="24"/>
  <c r="BU28" i="24"/>
  <c r="BV28" i="24"/>
  <c r="BX28" i="24"/>
  <c r="BY28" i="24"/>
  <c r="BZ28" i="24"/>
  <c r="CA28" i="24"/>
  <c r="CB28" i="24"/>
  <c r="CC28" i="24"/>
  <c r="CD28" i="24"/>
  <c r="CE28" i="24"/>
  <c r="A29" i="24"/>
  <c r="B29" i="24"/>
  <c r="C29" i="24"/>
  <c r="D29" i="24"/>
  <c r="E29" i="24"/>
  <c r="F29" i="24"/>
  <c r="G29" i="24"/>
  <c r="H29" i="24"/>
  <c r="I29" i="24"/>
  <c r="J29" i="24"/>
  <c r="K29" i="24"/>
  <c r="L29" i="24"/>
  <c r="M29" i="24"/>
  <c r="N29" i="24"/>
  <c r="O29" i="24"/>
  <c r="P29" i="24"/>
  <c r="Q29" i="24"/>
  <c r="R29" i="24"/>
  <c r="S29" i="24"/>
  <c r="T29" i="24"/>
  <c r="U29" i="24"/>
  <c r="V29" i="24"/>
  <c r="W29" i="24"/>
  <c r="X29" i="24"/>
  <c r="Y29" i="24"/>
  <c r="Z29" i="24"/>
  <c r="AA29" i="24"/>
  <c r="AB29" i="24"/>
  <c r="AC29" i="24"/>
  <c r="AD29" i="24"/>
  <c r="AE29" i="24"/>
  <c r="AF29" i="24"/>
  <c r="AG29" i="24"/>
  <c r="AH29" i="24"/>
  <c r="AI29" i="24"/>
  <c r="AJ29" i="24"/>
  <c r="AK29" i="24"/>
  <c r="AL29" i="24"/>
  <c r="AM29" i="24"/>
  <c r="AN29" i="24"/>
  <c r="AO29" i="24"/>
  <c r="AP29" i="24"/>
  <c r="AQ29" i="24"/>
  <c r="AR29" i="24"/>
  <c r="AS29" i="24"/>
  <c r="AT29" i="24"/>
  <c r="AU29" i="24"/>
  <c r="AV29" i="24"/>
  <c r="AW29" i="24"/>
  <c r="AY29" i="24"/>
  <c r="AZ29" i="24"/>
  <c r="BA29" i="24"/>
  <c r="BB29" i="24"/>
  <c r="BC29" i="24"/>
  <c r="BD29" i="24"/>
  <c r="BE29" i="24"/>
  <c r="BF29" i="24"/>
  <c r="BG29" i="24"/>
  <c r="BH29" i="24"/>
  <c r="BI29" i="24"/>
  <c r="BJ29" i="24"/>
  <c r="BK29" i="24"/>
  <c r="BL29" i="24"/>
  <c r="BM29" i="24"/>
  <c r="BN29" i="24"/>
  <c r="BO29" i="24"/>
  <c r="BP29" i="24"/>
  <c r="BQ29" i="24"/>
  <c r="BR29" i="24"/>
  <c r="BS29" i="24"/>
  <c r="BT29" i="24"/>
  <c r="BU29" i="24"/>
  <c r="BV29" i="24"/>
  <c r="BX29" i="24"/>
  <c r="BY29" i="24"/>
  <c r="BZ29" i="24"/>
  <c r="CA29" i="24"/>
  <c r="CB29" i="24"/>
  <c r="CC29" i="24"/>
  <c r="CD29" i="24"/>
  <c r="CE29" i="24"/>
  <c r="A30" i="24"/>
  <c r="B30" i="24"/>
  <c r="C30" i="24"/>
  <c r="D30" i="24"/>
  <c r="E30" i="24"/>
  <c r="F30" i="24"/>
  <c r="G30" i="24"/>
  <c r="H30" i="24"/>
  <c r="I30" i="24"/>
  <c r="J30" i="24"/>
  <c r="K30" i="24"/>
  <c r="L30" i="24"/>
  <c r="M30" i="24"/>
  <c r="N30" i="24"/>
  <c r="O30" i="24"/>
  <c r="P30" i="24"/>
  <c r="Q30" i="24"/>
  <c r="R30" i="24"/>
  <c r="S30" i="24"/>
  <c r="T30" i="24"/>
  <c r="U30" i="24"/>
  <c r="V30" i="24"/>
  <c r="W30" i="24"/>
  <c r="X30" i="24"/>
  <c r="Y30" i="24"/>
  <c r="Z30" i="24"/>
  <c r="AA30" i="24"/>
  <c r="AB30" i="24"/>
  <c r="AC30" i="24"/>
  <c r="AD30" i="24"/>
  <c r="AE30" i="24"/>
  <c r="AF30" i="24"/>
  <c r="AG30" i="24"/>
  <c r="AH30" i="24"/>
  <c r="AI30" i="24"/>
  <c r="AJ30" i="24"/>
  <c r="AK30" i="24"/>
  <c r="AL30" i="24"/>
  <c r="AM30" i="24"/>
  <c r="AN30" i="24"/>
  <c r="AO30" i="24"/>
  <c r="AP30" i="24"/>
  <c r="AQ30" i="24"/>
  <c r="AR30" i="24"/>
  <c r="AS30" i="24"/>
  <c r="AT30" i="24"/>
  <c r="AU30" i="24"/>
  <c r="AV30" i="24"/>
  <c r="AW30" i="24"/>
  <c r="AY30" i="24"/>
  <c r="AZ30" i="24"/>
  <c r="BA30" i="24"/>
  <c r="BB30" i="24"/>
  <c r="BC30" i="24"/>
  <c r="BD30" i="24"/>
  <c r="BE30" i="24"/>
  <c r="BF30" i="24"/>
  <c r="BG30" i="24"/>
  <c r="BH30" i="24"/>
  <c r="BI30" i="24"/>
  <c r="BJ30" i="24"/>
  <c r="BK30" i="24"/>
  <c r="BL30" i="24"/>
  <c r="BM30" i="24"/>
  <c r="BN30" i="24"/>
  <c r="BO30" i="24"/>
  <c r="BP30" i="24"/>
  <c r="BQ30" i="24"/>
  <c r="BR30" i="24"/>
  <c r="BS30" i="24"/>
  <c r="BT30" i="24"/>
  <c r="BU30" i="24"/>
  <c r="BV30" i="24"/>
  <c r="BX30" i="24"/>
  <c r="BY30" i="24"/>
  <c r="BZ30" i="24"/>
  <c r="CA30" i="24"/>
  <c r="CB30" i="24"/>
  <c r="CC30" i="24"/>
  <c r="CD30" i="24"/>
  <c r="CE30" i="24"/>
  <c r="A31" i="24"/>
  <c r="B31" i="24"/>
  <c r="C31" i="24"/>
  <c r="D31" i="24"/>
  <c r="E31" i="24"/>
  <c r="F31" i="24"/>
  <c r="G31" i="24"/>
  <c r="H31" i="24"/>
  <c r="I31" i="24"/>
  <c r="J31" i="24"/>
  <c r="K31" i="24"/>
  <c r="L31" i="24"/>
  <c r="M31" i="24"/>
  <c r="N31" i="24"/>
  <c r="O31" i="24"/>
  <c r="P31" i="24"/>
  <c r="Q31" i="24"/>
  <c r="R31" i="24"/>
  <c r="S31" i="24"/>
  <c r="T31" i="24"/>
  <c r="U31" i="24"/>
  <c r="V31" i="24"/>
  <c r="W31" i="24"/>
  <c r="X31" i="24"/>
  <c r="Y31" i="24"/>
  <c r="Z31" i="24"/>
  <c r="AA31" i="24"/>
  <c r="AB31" i="24"/>
  <c r="AC31" i="24"/>
  <c r="AD31" i="24"/>
  <c r="AE31" i="24"/>
  <c r="AF31" i="24"/>
  <c r="AG31" i="24"/>
  <c r="AH31" i="24"/>
  <c r="AI31" i="24"/>
  <c r="AJ31" i="24"/>
  <c r="AK31" i="24"/>
  <c r="AL31" i="24"/>
  <c r="AM31" i="24"/>
  <c r="AN31" i="24"/>
  <c r="AO31" i="24"/>
  <c r="AP31" i="24"/>
  <c r="AQ31" i="24"/>
  <c r="AR31" i="24"/>
  <c r="AS31" i="24"/>
  <c r="AT31" i="24"/>
  <c r="AU31" i="24"/>
  <c r="AV31" i="24"/>
  <c r="AW31" i="24"/>
  <c r="AY31" i="24"/>
  <c r="AZ31" i="24"/>
  <c r="BA31" i="24"/>
  <c r="BB31" i="24"/>
  <c r="BC31" i="24"/>
  <c r="BD31" i="24"/>
  <c r="BE31" i="24"/>
  <c r="BF31" i="24"/>
  <c r="BG31" i="24"/>
  <c r="BH31" i="24"/>
  <c r="BI31" i="24"/>
  <c r="BJ31" i="24"/>
  <c r="BK31" i="24"/>
  <c r="BL31" i="24"/>
  <c r="BM31" i="24"/>
  <c r="BN31" i="24"/>
  <c r="BO31" i="24"/>
  <c r="BP31" i="24"/>
  <c r="BQ31" i="24"/>
  <c r="BR31" i="24"/>
  <c r="BS31" i="24"/>
  <c r="BT31" i="24"/>
  <c r="BU31" i="24"/>
  <c r="BV31" i="24"/>
  <c r="BX31" i="24"/>
  <c r="BY31" i="24"/>
  <c r="BZ31" i="24"/>
  <c r="CA31" i="24"/>
  <c r="CB31" i="24"/>
  <c r="CC31" i="24"/>
  <c r="CD31" i="24"/>
  <c r="CE31" i="24"/>
  <c r="A2" i="24"/>
  <c r="B2" i="24"/>
  <c r="C2" i="24"/>
  <c r="BY2" i="24"/>
  <c r="BZ2" i="24"/>
  <c r="CA2" i="24"/>
  <c r="CB2" i="24"/>
  <c r="CC2" i="24"/>
  <c r="CD2" i="24"/>
  <c r="CE2" i="24"/>
  <c r="BX2" i="24"/>
  <c r="BS2" i="24"/>
  <c r="BT2" i="24"/>
  <c r="BU2" i="24"/>
  <c r="BV2" i="24"/>
  <c r="BM2" i="24"/>
  <c r="BN2" i="24"/>
  <c r="BO2" i="24"/>
  <c r="BP2" i="24"/>
  <c r="BQ2" i="24"/>
  <c r="BR2" i="24"/>
  <c r="BL2" i="24"/>
  <c r="BE2" i="24"/>
  <c r="BF2" i="24"/>
  <c r="BG2" i="24"/>
  <c r="BH2" i="24"/>
  <c r="BI2" i="24"/>
  <c r="BJ2" i="24"/>
  <c r="BK2" i="24"/>
  <c r="BD2" i="24"/>
  <c r="AZ2" i="24"/>
  <c r="BA2" i="24"/>
  <c r="BB2" i="24"/>
  <c r="BC2" i="24"/>
  <c r="AY2" i="24"/>
  <c r="AQ2" i="24"/>
  <c r="AR2" i="24"/>
  <c r="AS2" i="24"/>
  <c r="AT2" i="24"/>
  <c r="AU2" i="24"/>
  <c r="AV2" i="24"/>
  <c r="AW2" i="24"/>
  <c r="AK2" i="24"/>
  <c r="AL2" i="24"/>
  <c r="AM2" i="24"/>
  <c r="AN2" i="24"/>
  <c r="AO2" i="24"/>
  <c r="AP2" i="24"/>
  <c r="AJ2" i="24"/>
  <c r="AE2" i="24"/>
  <c r="AF2" i="24"/>
  <c r="AG2" i="24"/>
  <c r="AH2" i="24"/>
  <c r="AI2" i="24"/>
  <c r="AD2" i="24"/>
  <c r="AC2" i="24"/>
  <c r="Y2" i="24"/>
  <c r="Z2" i="24"/>
  <c r="AA2" i="24"/>
  <c r="AB2" i="24"/>
  <c r="X2" i="24"/>
  <c r="T2" i="24"/>
  <c r="U2" i="24"/>
  <c r="V2" i="24"/>
  <c r="W2" i="24"/>
  <c r="S2" i="24"/>
  <c r="N2" i="24"/>
  <c r="O2" i="24"/>
  <c r="P2" i="24"/>
  <c r="Q2" i="24"/>
  <c r="R2" i="24"/>
  <c r="J2" i="24"/>
  <c r="K2" i="24"/>
  <c r="L2" i="24"/>
  <c r="M2" i="24"/>
  <c r="I2" i="24"/>
  <c r="F2" i="24"/>
  <c r="G2" i="24"/>
  <c r="H2" i="24"/>
  <c r="E2" i="24"/>
  <c r="D2" i="24"/>
  <c r="J28" i="19" a="1"/>
  <c r="J28" i="19" s="1"/>
  <c r="D28" i="19" a="1"/>
  <c r="D28" i="19" s="1"/>
  <c r="E28" i="19" s="1"/>
  <c r="A28" i="19" a="1"/>
  <c r="A28" i="19" s="1"/>
  <c r="K5" i="19" a="1"/>
  <c r="J5" i="19" a="1"/>
  <c r="J5" i="19" s="1"/>
  <c r="D5" i="19" a="1"/>
  <c r="D5" i="19" s="1"/>
  <c r="E5" i="19" s="1"/>
  <c r="F5" i="19" s="1" a="1"/>
  <c r="F5" i="19" s="1"/>
  <c r="A5" i="19" a="1"/>
  <c r="A5" i="19" s="1"/>
  <c r="D17" i="19" a="1"/>
  <c r="D17" i="19"/>
  <c r="E17" i="19"/>
  <c r="G17" i="19" s="1" a="1"/>
  <c r="G17" i="19" s="1"/>
  <c r="D18" i="19" a="1"/>
  <c r="D18" i="19" s="1"/>
  <c r="E18" i="19" s="1"/>
  <c r="F18" i="19" s="1" a="1"/>
  <c r="F18" i="19" s="1"/>
  <c r="M18" i="19" a="1"/>
  <c r="M18" i="19" s="1"/>
  <c r="D19" i="19" a="1"/>
  <c r="D19" i="19"/>
  <c r="E19" i="19" s="1"/>
  <c r="M19" i="19" a="1"/>
  <c r="M19" i="19"/>
  <c r="O19" i="19" a="1"/>
  <c r="O19" i="19" s="1"/>
  <c r="D20" i="19" a="1"/>
  <c r="D20" i="19"/>
  <c r="E20" i="19" s="1"/>
  <c r="G20" i="19" s="1" a="1"/>
  <c r="G20" i="19" s="1"/>
  <c r="M20" i="19" a="1"/>
  <c r="M20" i="19"/>
  <c r="P20" i="19" s="1" a="1"/>
  <c r="P20" i="19" s="1"/>
  <c r="D21" i="19" a="1"/>
  <c r="D21" i="19"/>
  <c r="E21" i="19"/>
  <c r="H21" i="19" s="1" a="1"/>
  <c r="H21" i="19" s="1"/>
  <c r="F21" i="19" a="1"/>
  <c r="F21" i="19" s="1"/>
  <c r="G21" i="19" a="1"/>
  <c r="G21" i="19"/>
  <c r="M21" i="19" a="1"/>
  <c r="M21" i="19" s="1"/>
  <c r="D22" i="19" a="1"/>
  <c r="D22" i="19" s="1"/>
  <c r="E22" i="19" s="1"/>
  <c r="I22" i="19" s="1" a="1"/>
  <c r="I22" i="19" s="1"/>
  <c r="F22" i="19" a="1"/>
  <c r="F22" i="19" s="1"/>
  <c r="G22" i="19" a="1"/>
  <c r="G22" i="19" s="1"/>
  <c r="H22" i="19" a="1"/>
  <c r="H22" i="19" s="1"/>
  <c r="M22" i="19" a="1"/>
  <c r="M22" i="19" s="1"/>
  <c r="D23" i="19" a="1"/>
  <c r="D23" i="19"/>
  <c r="E23" i="19" s="1"/>
  <c r="M23" i="19" a="1"/>
  <c r="M23" i="19"/>
  <c r="O23" i="19" a="1"/>
  <c r="O23" i="19" s="1"/>
  <c r="Q23" i="19" a="1"/>
  <c r="Q23" i="19" s="1"/>
  <c r="D24" i="19" a="1"/>
  <c r="D24" i="19" s="1"/>
  <c r="E24" i="19" s="1"/>
  <c r="M24" i="19" a="1"/>
  <c r="M24" i="19"/>
  <c r="D25" i="19" a="1"/>
  <c r="D25" i="19"/>
  <c r="E25" i="19"/>
  <c r="H25" i="19" s="1" a="1"/>
  <c r="H25" i="19" s="1"/>
  <c r="M25" i="19" a="1"/>
  <c r="M25" i="19" s="1"/>
  <c r="D39" i="19" a="1"/>
  <c r="D39" i="19"/>
  <c r="E39" i="19"/>
  <c r="H39" i="19" s="1" a="1"/>
  <c r="H39" i="19" s="1"/>
  <c r="D40" i="19" a="1"/>
  <c r="D40" i="19" s="1"/>
  <c r="E40" i="19" s="1"/>
  <c r="I40" i="19" s="1" a="1"/>
  <c r="I40" i="19" s="1"/>
  <c r="G40" i="19" a="1"/>
  <c r="G40" i="19" s="1"/>
  <c r="H40" i="19" a="1"/>
  <c r="H40" i="19" s="1"/>
  <c r="D41" i="19" a="1"/>
  <c r="D41" i="19"/>
  <c r="E41" i="19" s="1"/>
  <c r="M41" i="19" a="1"/>
  <c r="M41" i="19" s="1"/>
  <c r="N41" i="19"/>
  <c r="R41" i="19" s="1" a="1"/>
  <c r="R41" i="19" s="1"/>
  <c r="D42" i="19" a="1"/>
  <c r="D42" i="19"/>
  <c r="E42" i="19" s="1"/>
  <c r="M42" i="19" a="1"/>
  <c r="M42" i="19" s="1"/>
  <c r="N42" i="19" s="1"/>
  <c r="D43" i="19" a="1"/>
  <c r="D43" i="19" s="1"/>
  <c r="E43" i="19" s="1"/>
  <c r="M43" i="19" a="1"/>
  <c r="M43" i="19" s="1"/>
  <c r="N43" i="19" s="1"/>
  <c r="D44" i="19" a="1"/>
  <c r="D44" i="19" s="1"/>
  <c r="E44" i="19" s="1"/>
  <c r="M44" i="19" a="1"/>
  <c r="M44" i="19"/>
  <c r="N44" i="19"/>
  <c r="P44" i="19" s="1" a="1"/>
  <c r="P44" i="19" s="1"/>
  <c r="D45" i="19" a="1"/>
  <c r="D45" i="19"/>
  <c r="E45" i="19" s="1"/>
  <c r="M45" i="19" a="1"/>
  <c r="M45" i="19"/>
  <c r="N45" i="19" s="1"/>
  <c r="D46" i="19" a="1"/>
  <c r="D46" i="19"/>
  <c r="E46" i="19" s="1"/>
  <c r="M46" i="19" a="1"/>
  <c r="M46" i="19" s="1"/>
  <c r="N46" i="19" s="1"/>
  <c r="D47" i="19" a="1"/>
  <c r="D47" i="19" s="1"/>
  <c r="E47" i="19" s="1"/>
  <c r="M47" i="19" a="1"/>
  <c r="M47" i="19" s="1"/>
  <c r="N47" i="19" s="1"/>
  <c r="D48" i="19" a="1"/>
  <c r="D48" i="19" s="1"/>
  <c r="E48" i="19" s="1"/>
  <c r="M48" i="19" a="1"/>
  <c r="M48" i="19"/>
  <c r="N48" i="19"/>
  <c r="P48" i="19" s="1" a="1"/>
  <c r="P48" i="19" s="1"/>
  <c r="S8" i="14" l="1"/>
  <c r="I42" i="2"/>
  <c r="I41" i="2"/>
  <c r="I39" i="2"/>
  <c r="I40" i="2"/>
  <c r="BW20" i="24"/>
  <c r="BW12" i="24"/>
  <c r="BW25" i="24"/>
  <c r="BW17" i="24"/>
  <c r="BW9" i="24"/>
  <c r="BW2" i="24"/>
  <c r="BW24" i="24"/>
  <c r="BW16" i="24"/>
  <c r="BW8" i="24"/>
  <c r="BW19" i="24"/>
  <c r="BW31" i="24"/>
  <c r="BW23" i="24"/>
  <c r="BW15" i="24"/>
  <c r="BW7" i="24"/>
  <c r="BW28" i="24"/>
  <c r="BW4" i="24"/>
  <c r="BW26" i="24"/>
  <c r="BW18" i="24"/>
  <c r="BW10" i="24"/>
  <c r="BW30" i="24"/>
  <c r="BW22" i="24"/>
  <c r="BW14" i="24"/>
  <c r="BW6" i="24"/>
  <c r="BW27" i="24"/>
  <c r="BW11" i="24"/>
  <c r="BW3" i="24"/>
  <c r="BW29" i="24"/>
  <c r="BW21" i="24"/>
  <c r="BW13" i="24"/>
  <c r="BW5" i="24"/>
  <c r="G39" i="19" a="1"/>
  <c r="G39" i="19" s="1"/>
  <c r="K5" i="19"/>
  <c r="M5" i="19" s="1" a="1"/>
  <c r="M5" i="19" s="1"/>
  <c r="N5" i="19" s="1"/>
  <c r="O5" i="19" s="1" a="1"/>
  <c r="O5" i="19" s="1"/>
  <c r="M10" i="19" a="1"/>
  <c r="M10" i="19" s="1"/>
  <c r="M12" i="19" a="1"/>
  <c r="M12" i="19" s="1"/>
  <c r="M14" i="19" a="1"/>
  <c r="M14" i="19" s="1"/>
  <c r="M9" i="19" a="1"/>
  <c r="M9" i="19" s="1"/>
  <c r="M15" i="19" a="1"/>
  <c r="M15" i="19" s="1"/>
  <c r="M16" i="19" a="1"/>
  <c r="M16" i="19" s="1"/>
  <c r="M28" i="19" a="1"/>
  <c r="M28" i="19" s="1"/>
  <c r="N28" i="19" s="1"/>
  <c r="O28" i="19" s="1" a="1"/>
  <c r="O28" i="19" s="1"/>
  <c r="M31" i="19" a="1"/>
  <c r="M31" i="19" s="1"/>
  <c r="N31" i="19" s="1"/>
  <c r="O31" i="19" s="1" a="1"/>
  <c r="O31" i="19" s="1"/>
  <c r="M36" i="19" a="1"/>
  <c r="M36" i="19" s="1"/>
  <c r="N36" i="19" s="1"/>
  <c r="Q36" i="19" s="1" a="1"/>
  <c r="Q36" i="19" s="1"/>
  <c r="M38" i="19" a="1"/>
  <c r="M38" i="19" s="1"/>
  <c r="N38" i="19" s="1"/>
  <c r="P38" i="19" s="1" a="1"/>
  <c r="P38" i="19" s="1"/>
  <c r="M30" i="19" a="1"/>
  <c r="M30" i="19" s="1"/>
  <c r="N30" i="19" s="1"/>
  <c r="P30" i="19" s="1" a="1"/>
  <c r="P30" i="19" s="1"/>
  <c r="M40" i="19" a="1"/>
  <c r="M40" i="19" s="1"/>
  <c r="N40" i="19" s="1"/>
  <c r="R40" i="19" s="1" a="1"/>
  <c r="R40" i="19" s="1"/>
  <c r="M37" i="19" a="1"/>
  <c r="M37" i="19" s="1"/>
  <c r="N37" i="19" s="1"/>
  <c r="Q37" i="19" s="1" a="1"/>
  <c r="Q37" i="19" s="1"/>
  <c r="M35" i="19" a="1"/>
  <c r="M35" i="19" s="1"/>
  <c r="N35" i="19" s="1"/>
  <c r="O35" i="19" s="1" a="1"/>
  <c r="O35" i="19" s="1"/>
  <c r="M29" i="19" a="1"/>
  <c r="M29" i="19" s="1"/>
  <c r="N29" i="19" s="1"/>
  <c r="R29" i="19" s="1" a="1"/>
  <c r="R29" i="19" s="1"/>
  <c r="M13" i="19" a="1"/>
  <c r="M13" i="19" s="1"/>
  <c r="M39" i="19" a="1"/>
  <c r="M39" i="19" s="1"/>
  <c r="N39" i="19" s="1"/>
  <c r="P39" i="19" s="1" a="1"/>
  <c r="P39" i="19" s="1"/>
  <c r="M33" i="19" a="1"/>
  <c r="M33" i="19" s="1"/>
  <c r="N33" i="19" s="1"/>
  <c r="O33" i="19" s="1" a="1"/>
  <c r="O33" i="19" s="1"/>
  <c r="M17" i="19" a="1"/>
  <c r="M17" i="19" s="1"/>
  <c r="M34" i="19" a="1"/>
  <c r="M34" i="19" s="1"/>
  <c r="N34" i="19" s="1"/>
  <c r="R34" i="19" s="1" a="1"/>
  <c r="R34" i="19" s="1"/>
  <c r="M32" i="19" a="1"/>
  <c r="M32" i="19" s="1"/>
  <c r="N32" i="19" s="1"/>
  <c r="Q32" i="19" s="1" a="1"/>
  <c r="Q32" i="19" s="1"/>
  <c r="M11" i="19" a="1"/>
  <c r="M11" i="19" s="1"/>
  <c r="M8" i="19" a="1"/>
  <c r="M8" i="19" s="1"/>
  <c r="M7" i="19" a="1"/>
  <c r="M7" i="19" s="1"/>
  <c r="N7" i="19" s="1"/>
  <c r="O7" i="19" s="1" a="1"/>
  <c r="O7" i="19" s="1"/>
  <c r="P41" i="19" a="1"/>
  <c r="P41" i="19" s="1"/>
  <c r="O41" i="19" a="1"/>
  <c r="O41" i="19" s="1"/>
  <c r="D15" i="19" a="1"/>
  <c r="D15" i="19" s="1"/>
  <c r="E15" i="19" s="1"/>
  <c r="F15" i="19" s="1" a="1"/>
  <c r="F15" i="19" s="1"/>
  <c r="D13" i="19" a="1"/>
  <c r="D13" i="19" s="1"/>
  <c r="E13" i="19" s="1"/>
  <c r="I13" i="19" s="1" a="1"/>
  <c r="I13" i="19" s="1"/>
  <c r="D10" i="19" a="1"/>
  <c r="D10" i="19" s="1"/>
  <c r="E10" i="19" s="1"/>
  <c r="F10" i="19" s="1" a="1"/>
  <c r="F10" i="19" s="1"/>
  <c r="D9" i="19" a="1"/>
  <c r="D9" i="19" s="1"/>
  <c r="E9" i="19" s="1"/>
  <c r="I9" i="19" s="1" a="1"/>
  <c r="I9" i="19" s="1"/>
  <c r="D8" i="19" a="1"/>
  <c r="D8" i="19" s="1"/>
  <c r="E8" i="19" s="1"/>
  <c r="H8" i="19" s="1" a="1"/>
  <c r="H8" i="19" s="1"/>
  <c r="D11" i="19" a="1"/>
  <c r="D11" i="19" s="1"/>
  <c r="E11" i="19" s="1"/>
  <c r="G11" i="19" s="1" a="1"/>
  <c r="G11" i="19" s="1"/>
  <c r="D12" i="19" a="1"/>
  <c r="D12" i="19" s="1"/>
  <c r="E12" i="19" s="1"/>
  <c r="H12" i="19" s="1" a="1"/>
  <c r="H12" i="19" s="1"/>
  <c r="D36" i="19" a="1"/>
  <c r="D36" i="19" s="1"/>
  <c r="E36" i="19" s="1"/>
  <c r="I36" i="19" s="1" a="1"/>
  <c r="I36" i="19" s="1"/>
  <c r="D31" i="19" a="1"/>
  <c r="D31" i="19" s="1"/>
  <c r="E31" i="19" s="1"/>
  <c r="H31" i="19" s="1" a="1"/>
  <c r="H31" i="19" s="1"/>
  <c r="D38" i="19" a="1"/>
  <c r="D38" i="19" s="1"/>
  <c r="E38" i="19" s="1"/>
  <c r="H38" i="19" s="1" a="1"/>
  <c r="H38" i="19" s="1"/>
  <c r="D33" i="19" a="1"/>
  <c r="D33" i="19" s="1"/>
  <c r="E33" i="19" s="1"/>
  <c r="F33" i="19" s="1" a="1"/>
  <c r="F33" i="19" s="1"/>
  <c r="D30" i="19" a="1"/>
  <c r="D30" i="19" s="1"/>
  <c r="E30" i="19" s="1"/>
  <c r="F30" i="19" s="1" a="1"/>
  <c r="F30" i="19" s="1"/>
  <c r="D29" i="19" a="1"/>
  <c r="D29" i="19" s="1"/>
  <c r="E29" i="19" s="1"/>
  <c r="G29" i="19" s="1" a="1"/>
  <c r="G29" i="19" s="1"/>
  <c r="D37" i="19" a="1"/>
  <c r="D37" i="19" s="1"/>
  <c r="E37" i="19" s="1"/>
  <c r="G37" i="19" s="1" a="1"/>
  <c r="G37" i="19" s="1"/>
  <c r="D35" i="19" a="1"/>
  <c r="D35" i="19" s="1"/>
  <c r="E35" i="19" s="1"/>
  <c r="F35" i="19" s="1" a="1"/>
  <c r="F35" i="19" s="1"/>
  <c r="D32" i="19" a="1"/>
  <c r="D32" i="19" s="1"/>
  <c r="E32" i="19" s="1"/>
  <c r="I32" i="19" s="1" a="1"/>
  <c r="I32" i="19" s="1"/>
  <c r="D34" i="19" a="1"/>
  <c r="D34" i="19" s="1"/>
  <c r="E34" i="19" s="1"/>
  <c r="I34" i="19" s="1" a="1"/>
  <c r="I34" i="19" s="1"/>
  <c r="S34" i="14"/>
  <c r="S33" i="14"/>
  <c r="S32" i="14"/>
  <c r="S31" i="14"/>
  <c r="D14" i="19" a="1"/>
  <c r="D14" i="19" s="1"/>
  <c r="E14" i="19" s="1"/>
  <c r="F14" i="19" s="1" a="1"/>
  <c r="F14" i="19" s="1"/>
  <c r="M6" i="19" a="1"/>
  <c r="M6" i="19" s="1"/>
  <c r="N6" i="19" s="1"/>
  <c r="P6" i="19" s="1" a="1"/>
  <c r="P6" i="19" s="1"/>
  <c r="I5" i="19" a="1"/>
  <c r="I5" i="19" s="1"/>
  <c r="I28" i="19" a="1"/>
  <c r="I28" i="19" s="1"/>
  <c r="S5" i="14" s="1"/>
  <c r="F28" i="19" a="1"/>
  <c r="F28" i="19" s="1"/>
  <c r="G28" i="19" a="1"/>
  <c r="G28" i="19" s="1"/>
  <c r="I15" i="19" a="1"/>
  <c r="I15" i="19" s="1"/>
  <c r="G15" i="19" a="1"/>
  <c r="G15" i="19" s="1"/>
  <c r="D16" i="19" a="1"/>
  <c r="D16" i="19" s="1"/>
  <c r="E16" i="19" s="1"/>
  <c r="F16" i="19" s="1" a="1"/>
  <c r="F16" i="19" s="1"/>
  <c r="D7" i="19" a="1"/>
  <c r="D7" i="19" s="1"/>
  <c r="E7" i="19" s="1"/>
  <c r="I7" i="19" s="1" a="1"/>
  <c r="I7" i="19" s="1"/>
  <c r="D6" i="19" a="1"/>
  <c r="D6" i="19" s="1"/>
  <c r="E6" i="19" s="1"/>
  <c r="G6" i="19" s="1" a="1"/>
  <c r="G6" i="19" s="1"/>
  <c r="R42" i="19" a="1"/>
  <c r="R42" i="19" s="1"/>
  <c r="O42" i="19" a="1"/>
  <c r="O42" i="19" s="1"/>
  <c r="P42" i="19" a="1"/>
  <c r="P42" i="19" s="1"/>
  <c r="Q42" i="19" a="1"/>
  <c r="Q42" i="19" s="1"/>
  <c r="O47" i="19" a="1"/>
  <c r="O47" i="19" s="1"/>
  <c r="P47" i="19" a="1"/>
  <c r="P47" i="19" s="1"/>
  <c r="Q47" i="19" a="1"/>
  <c r="Q47" i="19" s="1"/>
  <c r="R47" i="19" a="1"/>
  <c r="R47" i="19" s="1"/>
  <c r="Q22" i="19" a="1"/>
  <c r="Q22" i="19" s="1"/>
  <c r="O22" i="19" a="1"/>
  <c r="O22" i="19" s="1"/>
  <c r="R22" i="19" a="1"/>
  <c r="R22" i="19" s="1"/>
  <c r="P22" i="19" a="1"/>
  <c r="P22" i="19" s="1"/>
  <c r="Q18" i="19" a="1"/>
  <c r="Q18" i="19" s="1"/>
  <c r="O18" i="19" a="1"/>
  <c r="O18" i="19" s="1"/>
  <c r="P18" i="19" a="1"/>
  <c r="P18" i="19" s="1"/>
  <c r="R18" i="19" a="1"/>
  <c r="R18" i="19" s="1"/>
  <c r="Q45" i="19" a="1"/>
  <c r="Q45" i="19" s="1"/>
  <c r="R45" i="19" a="1"/>
  <c r="R45" i="19" s="1"/>
  <c r="O45" i="19" a="1"/>
  <c r="O45" i="19" s="1"/>
  <c r="P45" i="19" a="1"/>
  <c r="P45" i="19" s="1"/>
  <c r="O43" i="19" a="1"/>
  <c r="O43" i="19" s="1"/>
  <c r="P43" i="19" a="1"/>
  <c r="P43" i="19" s="1"/>
  <c r="Q43" i="19" a="1"/>
  <c r="Q43" i="19" s="1"/>
  <c r="R43" i="19" a="1"/>
  <c r="R43" i="19" s="1"/>
  <c r="I48" i="19" a="1"/>
  <c r="I48" i="19" s="1"/>
  <c r="G48" i="19" a="1"/>
  <c r="G48" i="19" s="1"/>
  <c r="F48" i="19" a="1"/>
  <c r="F48" i="19" s="1"/>
  <c r="H48" i="19" a="1"/>
  <c r="H48" i="19" s="1"/>
  <c r="I42" i="19" a="1"/>
  <c r="I42" i="19" s="1"/>
  <c r="F42" i="19" a="1"/>
  <c r="F42" i="19" s="1"/>
  <c r="G42" i="19" a="1"/>
  <c r="G42" i="19" s="1"/>
  <c r="H42" i="19" a="1"/>
  <c r="H42" i="19" s="1"/>
  <c r="G44" i="19" a="1"/>
  <c r="G44" i="19" s="1"/>
  <c r="H44" i="19" a="1"/>
  <c r="H44" i="19" s="1"/>
  <c r="I44" i="19" a="1"/>
  <c r="I44" i="19" s="1"/>
  <c r="F44" i="19" a="1"/>
  <c r="F44" i="19" s="1"/>
  <c r="G24" i="19" a="1"/>
  <c r="G24" i="19" s="1"/>
  <c r="F24" i="19" a="1"/>
  <c r="F24" i="19" s="1"/>
  <c r="I24" i="19" a="1"/>
  <c r="I24" i="19" s="1"/>
  <c r="H24" i="19" a="1"/>
  <c r="H24" i="19" s="1"/>
  <c r="G43" i="19" a="1"/>
  <c r="G43" i="19" s="1"/>
  <c r="H43" i="19" a="1"/>
  <c r="H43" i="19" s="1"/>
  <c r="F43" i="19" a="1"/>
  <c r="F43" i="19" s="1"/>
  <c r="I43" i="19" a="1"/>
  <c r="I43" i="19" s="1"/>
  <c r="I41" i="19" a="1"/>
  <c r="I41" i="19" s="1"/>
  <c r="G41" i="19" a="1"/>
  <c r="G41" i="19" s="1"/>
  <c r="F41" i="19" a="1"/>
  <c r="F41" i="19" s="1"/>
  <c r="H41" i="19" a="1"/>
  <c r="H41" i="19" s="1"/>
  <c r="P25" i="19" a="1"/>
  <c r="P25" i="19" s="1"/>
  <c r="R25" i="19" a="1"/>
  <c r="R25" i="19" s="1"/>
  <c r="Q25" i="19" a="1"/>
  <c r="Q25" i="19" s="1"/>
  <c r="O25" i="19" a="1"/>
  <c r="O25" i="19" s="1"/>
  <c r="R46" i="19" a="1"/>
  <c r="R46" i="19" s="1"/>
  <c r="O46" i="19" a="1"/>
  <c r="O46" i="19" s="1"/>
  <c r="P46" i="19" a="1"/>
  <c r="P46" i="19" s="1"/>
  <c r="Q46" i="19" a="1"/>
  <c r="Q46" i="19" s="1"/>
  <c r="F23" i="19" a="1"/>
  <c r="F23" i="19" s="1"/>
  <c r="G23" i="19" a="1"/>
  <c r="G23" i="19" s="1"/>
  <c r="I23" i="19" a="1"/>
  <c r="I23" i="19" s="1"/>
  <c r="H23" i="19" a="1"/>
  <c r="H23" i="19" s="1"/>
  <c r="F19" i="19" a="1"/>
  <c r="F19" i="19" s="1"/>
  <c r="H19" i="19" a="1"/>
  <c r="H19" i="19" s="1"/>
  <c r="I19" i="19" a="1"/>
  <c r="I19" i="19" s="1"/>
  <c r="G19" i="19" a="1"/>
  <c r="G19" i="19" s="1"/>
  <c r="F45" i="19" a="1"/>
  <c r="F45" i="19" s="1"/>
  <c r="H45" i="19" a="1"/>
  <c r="H45" i="19" s="1"/>
  <c r="G45" i="19" a="1"/>
  <c r="G45" i="19" s="1"/>
  <c r="I45" i="19" a="1"/>
  <c r="I45" i="19" s="1"/>
  <c r="F47" i="19" a="1"/>
  <c r="F47" i="19" s="1"/>
  <c r="G47" i="19" a="1"/>
  <c r="G47" i="19" s="1"/>
  <c r="H47" i="19" a="1"/>
  <c r="H47" i="19" s="1"/>
  <c r="I47" i="19" a="1"/>
  <c r="I47" i="19" s="1"/>
  <c r="P21" i="19" a="1"/>
  <c r="P21" i="19" s="1"/>
  <c r="R21" i="19" a="1"/>
  <c r="R21" i="19" s="1"/>
  <c r="O21" i="19" a="1"/>
  <c r="O21" i="19" s="1"/>
  <c r="Q21" i="19" a="1"/>
  <c r="Q21" i="19" s="1"/>
  <c r="G46" i="19" a="1"/>
  <c r="G46" i="19" s="1"/>
  <c r="H46" i="19" a="1"/>
  <c r="H46" i="19" s="1"/>
  <c r="F46" i="19" a="1"/>
  <c r="F46" i="19" s="1"/>
  <c r="I46" i="19" a="1"/>
  <c r="I46" i="19" s="1"/>
  <c r="O24" i="19" a="1"/>
  <c r="O24" i="19" s="1"/>
  <c r="Q24" i="19" a="1"/>
  <c r="Q24" i="19" s="1"/>
  <c r="O48" i="19" a="1"/>
  <c r="O48" i="19" s="1"/>
  <c r="O44" i="19" a="1"/>
  <c r="O44" i="19" s="1"/>
  <c r="F39" i="19" a="1"/>
  <c r="F39" i="19" s="1"/>
  <c r="F20" i="19" a="1"/>
  <c r="F20" i="19" s="1"/>
  <c r="R19" i="19" a="1"/>
  <c r="R19" i="19" s="1"/>
  <c r="P19" i="19" a="1"/>
  <c r="P19" i="19" s="1"/>
  <c r="R48" i="19" a="1"/>
  <c r="R48" i="19" s="1"/>
  <c r="R44" i="19" a="1"/>
  <c r="R44" i="19" s="1"/>
  <c r="R24" i="19" a="1"/>
  <c r="R24" i="19" s="1"/>
  <c r="O20" i="19" a="1"/>
  <c r="O20" i="19" s="1"/>
  <c r="Q20" i="19" a="1"/>
  <c r="Q20" i="19" s="1"/>
  <c r="F40" i="19" a="1"/>
  <c r="F40" i="19" s="1"/>
  <c r="I25" i="19" a="1"/>
  <c r="I25" i="19" s="1"/>
  <c r="H18" i="19" a="1"/>
  <c r="H18" i="19" s="1"/>
  <c r="H16" i="19" a="1"/>
  <c r="H16" i="19" s="1"/>
  <c r="Q48" i="19" a="1"/>
  <c r="Q48" i="19" s="1"/>
  <c r="Q44" i="19" a="1"/>
  <c r="Q44" i="19" s="1"/>
  <c r="I20" i="19" a="1"/>
  <c r="I20" i="19" s="1"/>
  <c r="Q19" i="19" a="1"/>
  <c r="Q19" i="19" s="1"/>
  <c r="H5" i="19" a="1"/>
  <c r="H5" i="19" s="1"/>
  <c r="G5" i="19" a="1"/>
  <c r="G5" i="19" s="1"/>
  <c r="H17" i="19" a="1"/>
  <c r="H17" i="19" s="1"/>
  <c r="F17" i="19" a="1"/>
  <c r="F17" i="19" s="1"/>
  <c r="Q41" i="19" a="1"/>
  <c r="Q41" i="19" s="1"/>
  <c r="I39" i="19" a="1"/>
  <c r="I39" i="19" s="1"/>
  <c r="G25" i="19" a="1"/>
  <c r="G25" i="19" s="1"/>
  <c r="P24" i="19" a="1"/>
  <c r="P24" i="19" s="1"/>
  <c r="R23" i="19" a="1"/>
  <c r="R23" i="19" s="1"/>
  <c r="P23" i="19" a="1"/>
  <c r="P23" i="19" s="1"/>
  <c r="R20" i="19" a="1"/>
  <c r="R20" i="19" s="1"/>
  <c r="H28" i="19" a="1"/>
  <c r="H28" i="19" s="1"/>
  <c r="F25" i="19" a="1"/>
  <c r="F25" i="19" s="1"/>
  <c r="I21" i="19" a="1"/>
  <c r="I21" i="19" s="1"/>
  <c r="H20" i="19" a="1"/>
  <c r="H20" i="19" s="1"/>
  <c r="I18" i="19" a="1"/>
  <c r="I18" i="19" s="1"/>
  <c r="G18" i="19" a="1"/>
  <c r="G18" i="19" s="1"/>
  <c r="I17" i="19" a="1"/>
  <c r="I17" i="19" s="1"/>
  <c r="G16" i="19" a="1"/>
  <c r="G16" i="19" s="1"/>
  <c r="I16" i="19" a="1"/>
  <c r="I16" i="19" s="1"/>
  <c r="Q31" i="19" l="1" a="1"/>
  <c r="Q31" i="19" s="1"/>
  <c r="P7" i="19" a="1"/>
  <c r="P7" i="19" s="1"/>
  <c r="R5" i="19" a="1"/>
  <c r="R5" i="19" s="1"/>
  <c r="N13" i="19"/>
  <c r="R13" i="19" s="1" a="1"/>
  <c r="R13" i="19" s="1"/>
  <c r="N8" i="19"/>
  <c r="N11" i="19"/>
  <c r="P11" i="19" s="1" a="1"/>
  <c r="P11" i="19" s="1"/>
  <c r="N16" i="19"/>
  <c r="P16" i="19" s="1" a="1"/>
  <c r="P16" i="19" s="1"/>
  <c r="N15" i="19"/>
  <c r="P15" i="19" s="1" a="1"/>
  <c r="P15" i="19" s="1"/>
  <c r="S26" i="14" s="1"/>
  <c r="N9" i="19"/>
  <c r="P9" i="19" s="1" a="1"/>
  <c r="P9" i="19" s="1"/>
  <c r="P36" i="19" a="1"/>
  <c r="P36" i="19" s="1"/>
  <c r="O36" i="19" a="1"/>
  <c r="O36" i="19" s="1"/>
  <c r="N17" i="19"/>
  <c r="Q17" i="19" s="1" a="1"/>
  <c r="Q17" i="19" s="1"/>
  <c r="N14" i="19"/>
  <c r="P14" i="19" s="1" a="1"/>
  <c r="P14" i="19" s="1"/>
  <c r="N12" i="19"/>
  <c r="R12" i="19" s="1" a="1"/>
  <c r="R12" i="19" s="1"/>
  <c r="N10" i="19"/>
  <c r="Q10" i="19" s="1" a="1"/>
  <c r="Q10" i="19" s="1"/>
  <c r="P35" i="19" a="1"/>
  <c r="P35" i="19" s="1"/>
  <c r="O29" i="19" a="1"/>
  <c r="O29" i="19" s="1"/>
  <c r="Q29" i="19" a="1"/>
  <c r="Q29" i="19" s="1"/>
  <c r="P40" i="19" a="1"/>
  <c r="P40" i="19" s="1"/>
  <c r="O40" i="19" a="1"/>
  <c r="O40" i="19" s="1"/>
  <c r="P31" i="19" a="1"/>
  <c r="P31" i="19" s="1"/>
  <c r="S9" i="14" s="1"/>
  <c r="R31" i="19" a="1"/>
  <c r="R31" i="19" s="1"/>
  <c r="S25" i="14"/>
  <c r="P37" i="19" a="1"/>
  <c r="P37" i="19" s="1"/>
  <c r="R33" i="19" a="1"/>
  <c r="R33" i="19" s="1"/>
  <c r="R39" i="19" a="1"/>
  <c r="R39" i="19" s="1"/>
  <c r="Q33" i="19" a="1"/>
  <c r="Q33" i="19" s="1"/>
  <c r="Q40" i="19" a="1"/>
  <c r="Q40" i="19" s="1"/>
  <c r="R38" i="19" a="1"/>
  <c r="R38" i="19" s="1"/>
  <c r="Q38" i="19" a="1"/>
  <c r="Q38" i="19" s="1"/>
  <c r="R37" i="19" a="1"/>
  <c r="R37" i="19" s="1"/>
  <c r="Q34" i="19" a="1"/>
  <c r="Q34" i="19" s="1"/>
  <c r="O34" i="19" a="1"/>
  <c r="O34" i="19" s="1"/>
  <c r="P34" i="19" a="1"/>
  <c r="P34" i="19" s="1"/>
  <c r="P32" i="19" a="1"/>
  <c r="P32" i="19" s="1"/>
  <c r="O32" i="19" a="1"/>
  <c r="O32" i="19" s="1"/>
  <c r="Q30" i="19" a="1"/>
  <c r="Q30" i="19" s="1"/>
  <c r="O30" i="19" a="1"/>
  <c r="O30" i="19" s="1"/>
  <c r="R30" i="19" a="1"/>
  <c r="R30" i="19" s="1"/>
  <c r="G31" i="19" a="1"/>
  <c r="G31" i="19" s="1"/>
  <c r="Q5" i="19" a="1"/>
  <c r="Q5" i="19" s="1"/>
  <c r="P5" i="19" a="1"/>
  <c r="P5" i="19" s="1"/>
  <c r="S6" i="14" s="1"/>
  <c r="P13" i="19" a="1"/>
  <c r="P13" i="19" s="1"/>
  <c r="P33" i="19" a="1"/>
  <c r="P33" i="19" s="1"/>
  <c r="R36" i="19" a="1"/>
  <c r="R36" i="19" s="1"/>
  <c r="R35" i="19" a="1"/>
  <c r="R35" i="19" s="1"/>
  <c r="O38" i="19" a="1"/>
  <c r="O38" i="19" s="1"/>
  <c r="G13" i="19" a="1"/>
  <c r="G13" i="19" s="1"/>
  <c r="H34" i="19" a="1"/>
  <c r="H34" i="19" s="1"/>
  <c r="P29" i="19" a="1"/>
  <c r="P29" i="19" s="1"/>
  <c r="Q13" i="19" a="1"/>
  <c r="Q13" i="19" s="1"/>
  <c r="Q28" i="19" a="1"/>
  <c r="Q28" i="19" s="1"/>
  <c r="O37" i="19" a="1"/>
  <c r="O37" i="19" s="1"/>
  <c r="R32" i="19" a="1"/>
  <c r="R32" i="19" s="1"/>
  <c r="Q35" i="19" a="1"/>
  <c r="Q35" i="19" s="1"/>
  <c r="P28" i="19" a="1"/>
  <c r="P28" i="19" s="1"/>
  <c r="R28" i="19" a="1"/>
  <c r="R28" i="19" s="1"/>
  <c r="O39" i="19" a="1"/>
  <c r="O39" i="19" s="1"/>
  <c r="S27" i="14" s="1"/>
  <c r="Q39" i="19" a="1"/>
  <c r="Q39" i="19" s="1"/>
  <c r="R7" i="19" a="1"/>
  <c r="R7" i="19" s="1"/>
  <c r="Q7" i="19" a="1"/>
  <c r="Q7" i="19" s="1"/>
  <c r="G10" i="19" a="1"/>
  <c r="G10" i="19" s="1"/>
  <c r="F31" i="19" a="1"/>
  <c r="F31" i="19" s="1"/>
  <c r="I31" i="19" a="1"/>
  <c r="I31" i="19" s="1"/>
  <c r="H10" i="19" a="1"/>
  <c r="H10" i="19" s="1"/>
  <c r="F34" i="19" a="1"/>
  <c r="F34" i="19" s="1"/>
  <c r="I10" i="19" a="1"/>
  <c r="I10" i="19" s="1"/>
  <c r="H14" i="19" a="1"/>
  <c r="H14" i="19" s="1"/>
  <c r="H15" i="19" a="1"/>
  <c r="H15" i="19" s="1"/>
  <c r="G38" i="19" a="1"/>
  <c r="G38" i="19" s="1"/>
  <c r="H9" i="19" a="1"/>
  <c r="H9" i="19" s="1"/>
  <c r="F38" i="19" a="1"/>
  <c r="F38" i="19" s="1"/>
  <c r="G33" i="19" a="1"/>
  <c r="G33" i="19" s="1"/>
  <c r="G34" i="19" a="1"/>
  <c r="G34" i="19" s="1"/>
  <c r="F13" i="19" a="1"/>
  <c r="F13" i="19" s="1"/>
  <c r="I38" i="19" a="1"/>
  <c r="I38" i="19" s="1"/>
  <c r="H13" i="19" a="1"/>
  <c r="H13" i="19" s="1"/>
  <c r="F37" i="19" a="1"/>
  <c r="F37" i="19" s="1"/>
  <c r="I33" i="19" a="1"/>
  <c r="I33" i="19" s="1"/>
  <c r="S28" i="14" s="1"/>
  <c r="H33" i="19" a="1"/>
  <c r="H33" i="19" s="1"/>
  <c r="G12" i="19" a="1"/>
  <c r="G12" i="19" s="1"/>
  <c r="G14" i="19" a="1"/>
  <c r="G14" i="19" s="1"/>
  <c r="H35" i="19" a="1"/>
  <c r="H35" i="19" s="1"/>
  <c r="F8" i="19" a="1"/>
  <c r="F8" i="19" s="1"/>
  <c r="I14" i="19" a="1"/>
  <c r="I14" i="19" s="1"/>
  <c r="F29" i="19" a="1"/>
  <c r="F29" i="19" s="1"/>
  <c r="G32" i="19" a="1"/>
  <c r="G32" i="19" s="1"/>
  <c r="H11" i="19" a="1"/>
  <c r="H11" i="19" s="1"/>
  <c r="H32" i="19" a="1"/>
  <c r="H32" i="19" s="1"/>
  <c r="I8" i="19" a="1"/>
  <c r="I8" i="19" s="1"/>
  <c r="F32" i="19" a="1"/>
  <c r="F32" i="19" s="1"/>
  <c r="F11" i="19" a="1"/>
  <c r="F11" i="19" s="1"/>
  <c r="G8" i="19" a="1"/>
  <c r="G8" i="19" s="1"/>
  <c r="F12" i="19" a="1"/>
  <c r="F12" i="19" s="1"/>
  <c r="G36" i="19" a="1"/>
  <c r="G36" i="19" s="1"/>
  <c r="G9" i="19" a="1"/>
  <c r="G9" i="19" s="1"/>
  <c r="I35" i="19" a="1"/>
  <c r="I35" i="19" s="1"/>
  <c r="I11" i="19" a="1"/>
  <c r="I11" i="19" s="1"/>
  <c r="F36" i="19" a="1"/>
  <c r="F36" i="19" s="1"/>
  <c r="I12" i="19" a="1"/>
  <c r="I12" i="19" s="1"/>
  <c r="S30" i="14" s="1"/>
  <c r="F9" i="19" a="1"/>
  <c r="F9" i="19" s="1"/>
  <c r="G35" i="19" a="1"/>
  <c r="G35" i="19" s="1"/>
  <c r="H36" i="19" a="1"/>
  <c r="H36" i="19" s="1"/>
  <c r="I29" i="19" a="1"/>
  <c r="I29" i="19" s="1"/>
  <c r="S7" i="14" s="1"/>
  <c r="I30" i="19" a="1"/>
  <c r="I30" i="19" s="1"/>
  <c r="H7" i="19" a="1"/>
  <c r="H7" i="19" s="1"/>
  <c r="H30" i="19" a="1"/>
  <c r="H30" i="19" s="1"/>
  <c r="I37" i="19" a="1"/>
  <c r="I37" i="19" s="1"/>
  <c r="G30" i="19" a="1"/>
  <c r="G30" i="19" s="1"/>
  <c r="F6" i="19" a="1"/>
  <c r="F6" i="19" s="1"/>
  <c r="H37" i="19" a="1"/>
  <c r="H37" i="19" s="1"/>
  <c r="H29" i="19" a="1"/>
  <c r="H29" i="19" s="1"/>
  <c r="O6" i="19" a="1"/>
  <c r="O6" i="19" s="1"/>
  <c r="R6" i="19" a="1"/>
  <c r="R6" i="19" s="1"/>
  <c r="Q6" i="19" a="1"/>
  <c r="Q6" i="19" s="1"/>
  <c r="G7" i="19" a="1"/>
  <c r="G7" i="19" s="1"/>
  <c r="F7" i="19" a="1"/>
  <c r="F7" i="19" s="1"/>
  <c r="I6" i="19" a="1"/>
  <c r="I6" i="19" s="1"/>
  <c r="H6" i="19" a="1"/>
  <c r="H6" i="19" s="1"/>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I35" i="18"/>
  <c r="H35" i="18"/>
  <c r="G35" i="18"/>
  <c r="F35" i="18"/>
  <c r="E35" i="18"/>
  <c r="D35" i="18"/>
  <c r="C35" i="18"/>
  <c r="B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5" i="11"/>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5" i="10"/>
  <c r="A5" i="9"/>
  <c r="F34" i="16"/>
  <c r="F33" i="16"/>
  <c r="A33" i="16"/>
  <c r="F32" i="16"/>
  <c r="A32" i="16"/>
  <c r="F31" i="16"/>
  <c r="H31" i="16" s="1"/>
  <c r="R31" i="14" s="1"/>
  <c r="T31" i="14" s="1" a="1"/>
  <c r="T31" i="14" s="1"/>
  <c r="A31" i="16"/>
  <c r="F30" i="16"/>
  <c r="A30" i="16"/>
  <c r="F29" i="16"/>
  <c r="A29" i="16"/>
  <c r="F28" i="16"/>
  <c r="A28" i="16"/>
  <c r="F27" i="16"/>
  <c r="A27" i="16"/>
  <c r="F26" i="16"/>
  <c r="A26" i="16"/>
  <c r="F25" i="16"/>
  <c r="A25" i="16"/>
  <c r="F24" i="16"/>
  <c r="A24" i="16"/>
  <c r="F23" i="16"/>
  <c r="A23" i="16"/>
  <c r="F22" i="16"/>
  <c r="A22" i="16"/>
  <c r="F21" i="16"/>
  <c r="A21" i="16"/>
  <c r="F20" i="16"/>
  <c r="A20" i="16"/>
  <c r="F19" i="16"/>
  <c r="A19" i="16"/>
  <c r="F18" i="16"/>
  <c r="A18" i="16"/>
  <c r="F17" i="16"/>
  <c r="A17" i="16"/>
  <c r="F16" i="16"/>
  <c r="A16" i="16"/>
  <c r="F15" i="16"/>
  <c r="A15" i="16"/>
  <c r="F14" i="16"/>
  <c r="A14" i="16"/>
  <c r="F13" i="16"/>
  <c r="A13" i="16"/>
  <c r="F12" i="16"/>
  <c r="A12" i="16"/>
  <c r="F11" i="16"/>
  <c r="A11" i="16"/>
  <c r="F10" i="16"/>
  <c r="A10" i="16"/>
  <c r="F9" i="16"/>
  <c r="A9" i="16"/>
  <c r="F8" i="16"/>
  <c r="A8" i="16"/>
  <c r="F7" i="16"/>
  <c r="A7" i="16"/>
  <c r="F6" i="16"/>
  <c r="A6" i="16"/>
  <c r="F5" i="16"/>
  <c r="A5" i="16"/>
  <c r="E35" i="16"/>
  <c r="D35" i="16"/>
  <c r="C35" i="16"/>
  <c r="B35" i="16"/>
  <c r="G34" i="16"/>
  <c r="G33" i="16"/>
  <c r="G32" i="16"/>
  <c r="G31" i="16"/>
  <c r="G30" i="16"/>
  <c r="G29" i="16"/>
  <c r="G28" i="16"/>
  <c r="G27" i="16"/>
  <c r="G26" i="16"/>
  <c r="G25" i="16"/>
  <c r="G24" i="16"/>
  <c r="G23" i="16"/>
  <c r="G22" i="16"/>
  <c r="G21" i="16"/>
  <c r="G20" i="16"/>
  <c r="G19" i="16"/>
  <c r="G18" i="16"/>
  <c r="G17" i="16"/>
  <c r="G16" i="16"/>
  <c r="G15" i="16"/>
  <c r="G14" i="16"/>
  <c r="G13" i="16"/>
  <c r="G12" i="16"/>
  <c r="G11" i="16"/>
  <c r="G10" i="16"/>
  <c r="G9" i="16"/>
  <c r="G8" i="16"/>
  <c r="G7" i="16"/>
  <c r="G6" i="16"/>
  <c r="G5" i="16"/>
  <c r="O15" i="19" l="1" a="1"/>
  <c r="O15" i="19" s="1"/>
  <c r="S29" i="14"/>
  <c r="S11" i="14"/>
  <c r="Q15" i="19" a="1"/>
  <c r="Q15" i="19" s="1"/>
  <c r="S10" i="14"/>
  <c r="S23" i="14"/>
  <c r="S22" i="14"/>
  <c r="Q11" i="19" a="1"/>
  <c r="Q11" i="19" s="1"/>
  <c r="R15" i="19" a="1"/>
  <c r="R15" i="19" s="1"/>
  <c r="O11" i="19" a="1"/>
  <c r="O11" i="19" s="1"/>
  <c r="R9" i="19" a="1"/>
  <c r="R9" i="19" s="1"/>
  <c r="O9" i="19" a="1"/>
  <c r="O9" i="19" s="1"/>
  <c r="S14" i="14" s="1"/>
  <c r="O14" i="19" a="1"/>
  <c r="O14" i="19" s="1"/>
  <c r="Q14" i="19" a="1"/>
  <c r="Q14" i="19" s="1"/>
  <c r="R10" i="19" a="1"/>
  <c r="R10" i="19" s="1"/>
  <c r="P17" i="19" a="1"/>
  <c r="P17" i="19" s="1"/>
  <c r="R17" i="19" a="1"/>
  <c r="R17" i="19" s="1"/>
  <c r="O17" i="19" a="1"/>
  <c r="O17" i="19" s="1"/>
  <c r="Q16" i="19" a="1"/>
  <c r="Q16" i="19" s="1"/>
  <c r="R16" i="19" a="1"/>
  <c r="R16" i="19" s="1"/>
  <c r="O16" i="19" a="1"/>
  <c r="O16" i="19" s="1"/>
  <c r="P10" i="19" a="1"/>
  <c r="P10" i="19" s="1"/>
  <c r="R11" i="19" a="1"/>
  <c r="R11" i="19" s="1"/>
  <c r="O12" i="19" a="1"/>
  <c r="O12" i="19" s="1"/>
  <c r="P12" i="19" a="1"/>
  <c r="P12" i="19" s="1"/>
  <c r="S19" i="14" s="1"/>
  <c r="O8" i="19" a="1"/>
  <c r="O8" i="19" s="1"/>
  <c r="P8" i="19" a="1"/>
  <c r="P8" i="19" s="1"/>
  <c r="Q8" i="19" a="1"/>
  <c r="Q8" i="19" s="1"/>
  <c r="Q12" i="19" a="1"/>
  <c r="Q12" i="19" s="1"/>
  <c r="Q9" i="19" a="1"/>
  <c r="Q9" i="19" s="1"/>
  <c r="R8" i="19" a="1"/>
  <c r="R8" i="19" s="1"/>
  <c r="O10" i="19" a="1"/>
  <c r="O10" i="19" s="1"/>
  <c r="O52" i="19" s="1"/>
  <c r="R14" i="19" a="1"/>
  <c r="R14" i="19" s="1"/>
  <c r="O13" i="19" a="1"/>
  <c r="O13" i="19" s="1"/>
  <c r="L33" i="18"/>
  <c r="U33" i="14" s="1"/>
  <c r="L34" i="18"/>
  <c r="U34" i="14" s="1"/>
  <c r="L32" i="18"/>
  <c r="U32" i="14" s="1"/>
  <c r="L31" i="18"/>
  <c r="U31" i="14" s="1"/>
  <c r="H32" i="16"/>
  <c r="R32" i="14" s="1"/>
  <c r="T32" i="14" s="1" a="1"/>
  <c r="T32" i="14" s="1"/>
  <c r="H33" i="16"/>
  <c r="R33" i="14" s="1"/>
  <c r="T33" i="14" s="1" a="1"/>
  <c r="T33" i="14" s="1"/>
  <c r="H34" i="16"/>
  <c r="R34" i="14" s="1"/>
  <c r="T34" i="14" s="1" a="1"/>
  <c r="T34" i="14" s="1"/>
  <c r="S15" i="14"/>
  <c r="S17" i="14"/>
  <c r="S18" i="14"/>
  <c r="L28" i="18"/>
  <c r="U28" i="14" s="1"/>
  <c r="L27" i="18"/>
  <c r="U27" i="14" s="1"/>
  <c r="S20" i="14"/>
  <c r="L20" i="18"/>
  <c r="U20" i="14" s="1"/>
  <c r="H22" i="16"/>
  <c r="R22" i="14" s="1"/>
  <c r="L29" i="18"/>
  <c r="U29" i="14" s="1"/>
  <c r="H29" i="16"/>
  <c r="R29" i="14" s="1"/>
  <c r="L23" i="18"/>
  <c r="U23" i="14" s="1"/>
  <c r="H21" i="16"/>
  <c r="R21" i="14" s="1"/>
  <c r="L9" i="18"/>
  <c r="U9" i="14" s="1"/>
  <c r="H9" i="16"/>
  <c r="R9" i="14" s="1"/>
  <c r="T9" i="14" s="1" a="1"/>
  <c r="T9" i="14" s="1"/>
  <c r="L30" i="18"/>
  <c r="U30" i="14" s="1"/>
  <c r="H30" i="16"/>
  <c r="R30" i="14" s="1"/>
  <c r="T30" i="14" s="1" a="1"/>
  <c r="T30" i="14" s="1"/>
  <c r="H28" i="16"/>
  <c r="R28" i="14" s="1"/>
  <c r="T28" i="14" s="1" a="1"/>
  <c r="T28" i="14" s="1"/>
  <c r="H27" i="16"/>
  <c r="R27" i="14" s="1"/>
  <c r="T27" i="14" s="1" a="1"/>
  <c r="T27" i="14" s="1"/>
  <c r="L26" i="18"/>
  <c r="U26" i="14" s="1"/>
  <c r="H26" i="16"/>
  <c r="R26" i="14" s="1"/>
  <c r="T26" i="14" s="1" a="1"/>
  <c r="T26" i="14" s="1"/>
  <c r="L25" i="18"/>
  <c r="U25" i="14" s="1"/>
  <c r="H25" i="16"/>
  <c r="R25" i="14" s="1"/>
  <c r="T25" i="14" s="1" a="1"/>
  <c r="T25" i="14" s="1"/>
  <c r="L24" i="18"/>
  <c r="U24" i="14" s="1"/>
  <c r="S24" i="14"/>
  <c r="H24" i="16"/>
  <c r="R24" i="14" s="1"/>
  <c r="H23" i="16"/>
  <c r="R23" i="14" s="1"/>
  <c r="L22" i="18"/>
  <c r="U22" i="14" s="1"/>
  <c r="L21" i="18"/>
  <c r="U21" i="14" s="1"/>
  <c r="S21" i="14"/>
  <c r="H20" i="16"/>
  <c r="R20" i="14" s="1"/>
  <c r="L19" i="18"/>
  <c r="U19" i="14" s="1"/>
  <c r="H19" i="16"/>
  <c r="R19" i="14" s="1"/>
  <c r="L18" i="18"/>
  <c r="U18" i="14" s="1"/>
  <c r="H18" i="16"/>
  <c r="R18" i="14" s="1"/>
  <c r="L17" i="18"/>
  <c r="U17" i="14" s="1"/>
  <c r="H17" i="16"/>
  <c r="R17" i="14" s="1"/>
  <c r="L16" i="18"/>
  <c r="U16" i="14" s="1"/>
  <c r="S16" i="14"/>
  <c r="H16" i="16"/>
  <c r="R16" i="14" s="1"/>
  <c r="L15" i="18"/>
  <c r="U15" i="14" s="1"/>
  <c r="H15" i="16"/>
  <c r="R15" i="14" s="1"/>
  <c r="L14" i="18"/>
  <c r="U14" i="14" s="1"/>
  <c r="H14" i="16"/>
  <c r="R14" i="14" s="1"/>
  <c r="L13" i="18"/>
  <c r="U13" i="14" s="1"/>
  <c r="S13" i="14"/>
  <c r="H13" i="16"/>
  <c r="R13" i="14" s="1"/>
  <c r="L12" i="18"/>
  <c r="U12" i="14" s="1"/>
  <c r="S12" i="14"/>
  <c r="H12" i="16"/>
  <c r="R12" i="14" s="1"/>
  <c r="L11" i="18"/>
  <c r="U11" i="14" s="1"/>
  <c r="H11" i="16"/>
  <c r="R11" i="14" s="1"/>
  <c r="T11" i="14" s="1" a="1"/>
  <c r="T11" i="14" s="1"/>
  <c r="L10" i="18"/>
  <c r="U10" i="14" s="1"/>
  <c r="H10" i="16"/>
  <c r="R10" i="14" s="1"/>
  <c r="L8" i="18"/>
  <c r="U8" i="14" s="1"/>
  <c r="H8" i="16"/>
  <c r="R8" i="14" s="1"/>
  <c r="T8" i="14" s="1" a="1"/>
  <c r="T8" i="14" s="1"/>
  <c r="L7" i="18"/>
  <c r="U7" i="14" s="1"/>
  <c r="H7" i="16"/>
  <c r="R7" i="14" s="1"/>
  <c r="T7" i="14" s="1" a="1"/>
  <c r="T7" i="14" s="1"/>
  <c r="L6" i="18"/>
  <c r="U6" i="14" s="1"/>
  <c r="H6" i="16"/>
  <c r="R6" i="14" s="1"/>
  <c r="T6" i="14" s="1" a="1"/>
  <c r="T6" i="14" s="1"/>
  <c r="H55" i="19"/>
  <c r="G52" i="19"/>
  <c r="F52" i="19"/>
  <c r="I51" i="19"/>
  <c r="H54" i="19"/>
  <c r="I52" i="19"/>
  <c r="G51" i="19"/>
  <c r="I53" i="19"/>
  <c r="F51" i="19"/>
  <c r="H53" i="19"/>
  <c r="G55" i="19"/>
  <c r="G54" i="19"/>
  <c r="F55" i="19"/>
  <c r="F54" i="19"/>
  <c r="F53" i="19"/>
  <c r="G53" i="19"/>
  <c r="H52" i="19"/>
  <c r="H51" i="19"/>
  <c r="I55" i="19"/>
  <c r="I54" i="19"/>
  <c r="H5" i="16"/>
  <c r="R5" i="14" s="1"/>
  <c r="T5" i="14" s="1" a="1"/>
  <c r="T5" i="14" s="1"/>
  <c r="T19" i="14" l="1" a="1"/>
  <c r="T19" i="14" s="1"/>
  <c r="T22" i="14" a="1"/>
  <c r="T22" i="14" s="1"/>
  <c r="Q53" i="19"/>
  <c r="T10" i="14" a="1"/>
  <c r="T10" i="14" s="1"/>
  <c r="T23" i="14" a="1"/>
  <c r="T23" i="14" s="1"/>
  <c r="Q52" i="19"/>
  <c r="P55" i="19"/>
  <c r="T29" i="14" a="1"/>
  <c r="T29" i="14" s="1"/>
  <c r="Q55" i="19"/>
  <c r="R53" i="19"/>
  <c r="R54" i="19"/>
  <c r="O55" i="19"/>
  <c r="Q54" i="19"/>
  <c r="Q51" i="19"/>
  <c r="R51" i="19"/>
  <c r="P54" i="19"/>
  <c r="R55" i="19"/>
  <c r="R52" i="19"/>
  <c r="P52" i="19"/>
  <c r="T14" i="14" a="1"/>
  <c r="T14" i="14" s="1"/>
  <c r="O53" i="19"/>
  <c r="O51" i="19"/>
  <c r="P51" i="19"/>
  <c r="P53" i="19"/>
  <c r="O54" i="19"/>
  <c r="T15" i="14" a="1"/>
  <c r="T15" i="14" s="1"/>
  <c r="T20" i="14" a="1"/>
  <c r="T20" i="14" s="1"/>
  <c r="T17" i="14" a="1"/>
  <c r="T17" i="14" s="1"/>
  <c r="T18" i="14" a="1"/>
  <c r="T18" i="14" s="1"/>
  <c r="T21" i="14" a="1"/>
  <c r="T21" i="14" s="1"/>
  <c r="T24" i="14" a="1"/>
  <c r="T24" i="14" s="1"/>
  <c r="T16" i="14" a="1"/>
  <c r="T16" i="14" s="1"/>
  <c r="T13" i="14" a="1"/>
  <c r="T13" i="14" s="1"/>
  <c r="T12" i="14" a="1"/>
  <c r="T12" i="14" s="1"/>
  <c r="H39" i="16"/>
  <c r="S35" i="14" a="1"/>
  <c r="S35" i="14" s="1"/>
  <c r="H40" i="16"/>
  <c r="H41" i="16"/>
  <c r="H42" i="16"/>
  <c r="L42" i="18"/>
  <c r="U35" i="14" a="1"/>
  <c r="U35" i="14" s="1"/>
  <c r="L40" i="18"/>
  <c r="L41" i="18"/>
  <c r="L39" i="18"/>
  <c r="I9" i="5"/>
  <c r="J34" i="11"/>
  <c r="J33" i="11"/>
  <c r="J32" i="11"/>
  <c r="J31" i="11"/>
  <c r="J30" i="11"/>
  <c r="J29" i="11"/>
  <c r="J28" i="11"/>
  <c r="J27" i="11"/>
  <c r="J26" i="11"/>
  <c r="J25" i="11"/>
  <c r="J24" i="11"/>
  <c r="J23" i="11"/>
  <c r="J22" i="11"/>
  <c r="J21" i="11"/>
  <c r="J20" i="11"/>
  <c r="J19" i="11"/>
  <c r="J18" i="11"/>
  <c r="J17" i="11"/>
  <c r="J16" i="11"/>
  <c r="J15" i="11"/>
  <c r="J14" i="11"/>
  <c r="J13" i="11"/>
  <c r="J12" i="11"/>
  <c r="J11" i="11"/>
  <c r="J10" i="11"/>
  <c r="J9" i="11"/>
  <c r="J8" i="11"/>
  <c r="J7" i="11"/>
  <c r="J6" i="11"/>
  <c r="J5" i="11"/>
  <c r="I11" i="11"/>
  <c r="I5" i="11"/>
  <c r="E30" i="14"/>
  <c r="E29" i="14"/>
  <c r="E28" i="14"/>
  <c r="E22" i="14"/>
  <c r="E21" i="14"/>
  <c r="E20" i="14"/>
  <c r="E14" i="14"/>
  <c r="E13" i="14"/>
  <c r="E12" i="14"/>
  <c r="G34" i="3"/>
  <c r="I34" i="3" s="1"/>
  <c r="F34" i="14" s="1"/>
  <c r="G33" i="3"/>
  <c r="I33" i="3" s="1"/>
  <c r="F33" i="14" s="1"/>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34" i="4"/>
  <c r="I34" i="4" s="1"/>
  <c r="G34" i="14" s="1"/>
  <c r="G33" i="4"/>
  <c r="I33" i="4" s="1"/>
  <c r="G33" i="14" s="1"/>
  <c r="G32" i="4"/>
  <c r="I32" i="4" s="1"/>
  <c r="G32" i="14" s="1"/>
  <c r="G31" i="4"/>
  <c r="I31" i="4" s="1"/>
  <c r="G31" i="14" s="1"/>
  <c r="G30" i="4"/>
  <c r="G29" i="4"/>
  <c r="G28" i="4"/>
  <c r="G27" i="4"/>
  <c r="G26" i="4"/>
  <c r="G25" i="4"/>
  <c r="G24" i="4"/>
  <c r="G23" i="4"/>
  <c r="G22" i="4"/>
  <c r="G21" i="4"/>
  <c r="G20" i="4"/>
  <c r="G19" i="4"/>
  <c r="G18" i="4"/>
  <c r="G17" i="4"/>
  <c r="G16" i="4"/>
  <c r="G15" i="4"/>
  <c r="G14" i="4"/>
  <c r="G13" i="4"/>
  <c r="G12" i="4"/>
  <c r="G11" i="4"/>
  <c r="G10" i="4"/>
  <c r="G9" i="4"/>
  <c r="G8" i="4"/>
  <c r="G7" i="4"/>
  <c r="G6" i="4"/>
  <c r="G5" i="4"/>
  <c r="H34" i="5"/>
  <c r="J34" i="5" s="1"/>
  <c r="H34" i="14" s="1"/>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34" i="6"/>
  <c r="H33" i="6"/>
  <c r="H32" i="6"/>
  <c r="J32" i="6" s="1"/>
  <c r="I32" i="14" s="1"/>
  <c r="H31" i="6"/>
  <c r="J31" i="6" s="1"/>
  <c r="I31" i="14" s="1"/>
  <c r="H30" i="6"/>
  <c r="H29" i="6"/>
  <c r="H28" i="6"/>
  <c r="H27" i="6"/>
  <c r="H26" i="6"/>
  <c r="H25" i="6"/>
  <c r="H24" i="6"/>
  <c r="H23" i="6"/>
  <c r="H22" i="6"/>
  <c r="H21" i="6"/>
  <c r="H20" i="6"/>
  <c r="H19" i="6"/>
  <c r="H18" i="6"/>
  <c r="H17" i="6"/>
  <c r="H16" i="6"/>
  <c r="H15" i="6"/>
  <c r="H14" i="6"/>
  <c r="H13" i="6"/>
  <c r="H12" i="6"/>
  <c r="H11" i="6"/>
  <c r="H10" i="6"/>
  <c r="H9" i="6"/>
  <c r="H8" i="6"/>
  <c r="H7" i="6"/>
  <c r="H6" i="6"/>
  <c r="H5" i="6"/>
  <c r="I34" i="7"/>
  <c r="I33" i="7"/>
  <c r="I32" i="7"/>
  <c r="I31" i="7"/>
  <c r="I30" i="7"/>
  <c r="I29" i="7"/>
  <c r="I28" i="7"/>
  <c r="I27" i="7"/>
  <c r="I26" i="7"/>
  <c r="I25" i="7"/>
  <c r="I24" i="7"/>
  <c r="I23" i="7"/>
  <c r="I22" i="7"/>
  <c r="I21" i="7"/>
  <c r="I20" i="7"/>
  <c r="I19" i="7"/>
  <c r="I18" i="7"/>
  <c r="I17" i="7"/>
  <c r="I16" i="7"/>
  <c r="I15" i="7"/>
  <c r="I14" i="7"/>
  <c r="I13" i="7"/>
  <c r="I12" i="7"/>
  <c r="I11" i="7"/>
  <c r="I10" i="7"/>
  <c r="I9" i="7"/>
  <c r="I8" i="7"/>
  <c r="I7" i="7"/>
  <c r="I6" i="7"/>
  <c r="I5" i="7"/>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G34" i="9"/>
  <c r="G33" i="9"/>
  <c r="I33" i="9" s="1"/>
  <c r="L33" i="14" s="1"/>
  <c r="G32" i="9"/>
  <c r="I32" i="9" s="1"/>
  <c r="L32" i="14" s="1"/>
  <c r="G31" i="9"/>
  <c r="I31" i="9" s="1"/>
  <c r="L31" i="14" s="1"/>
  <c r="G30" i="9"/>
  <c r="G29" i="9"/>
  <c r="G28" i="9"/>
  <c r="G27" i="9"/>
  <c r="G26" i="9"/>
  <c r="G25" i="9"/>
  <c r="G24" i="9"/>
  <c r="G23" i="9"/>
  <c r="G22" i="9"/>
  <c r="G21" i="9"/>
  <c r="G20" i="9"/>
  <c r="G19" i="9"/>
  <c r="G18" i="9"/>
  <c r="G17" i="9"/>
  <c r="G16" i="9"/>
  <c r="G15" i="9"/>
  <c r="G14" i="9"/>
  <c r="G13" i="9"/>
  <c r="G12" i="9"/>
  <c r="G11" i="9"/>
  <c r="G10" i="9"/>
  <c r="G9" i="9"/>
  <c r="G8" i="9"/>
  <c r="G7" i="9"/>
  <c r="G6" i="9"/>
  <c r="G5" i="9"/>
  <c r="J34" i="10"/>
  <c r="L34" i="10" s="1"/>
  <c r="M34" i="14" s="1"/>
  <c r="J33" i="10"/>
  <c r="L33" i="10" s="1"/>
  <c r="M33" i="14" s="1"/>
  <c r="J32" i="10"/>
  <c r="L32" i="10" s="1"/>
  <c r="M32" i="14" s="1"/>
  <c r="J31" i="10"/>
  <c r="L31" i="10" s="1"/>
  <c r="M31" i="14" s="1"/>
  <c r="J30" i="10"/>
  <c r="J29" i="10"/>
  <c r="J28" i="10"/>
  <c r="J27" i="10"/>
  <c r="J26" i="10"/>
  <c r="J25" i="10"/>
  <c r="J24" i="10"/>
  <c r="J23" i="10"/>
  <c r="J22" i="10"/>
  <c r="J21" i="10"/>
  <c r="J20" i="10"/>
  <c r="J19" i="10"/>
  <c r="J18" i="10"/>
  <c r="J17" i="10"/>
  <c r="J16" i="10"/>
  <c r="J15" i="10"/>
  <c r="J14" i="10"/>
  <c r="J13" i="10"/>
  <c r="J12" i="10"/>
  <c r="J11" i="10"/>
  <c r="J10" i="10"/>
  <c r="J9" i="10"/>
  <c r="J8" i="10"/>
  <c r="J7" i="10"/>
  <c r="J6" i="10"/>
  <c r="J5" i="10"/>
  <c r="I34" i="11"/>
  <c r="K34" i="11" s="1"/>
  <c r="N34" i="14" s="1"/>
  <c r="I33" i="11"/>
  <c r="I32" i="11"/>
  <c r="K32" i="11" s="1"/>
  <c r="N32" i="14" s="1"/>
  <c r="I31" i="11"/>
  <c r="K31" i="11" s="1"/>
  <c r="N31" i="14" s="1"/>
  <c r="I30" i="11"/>
  <c r="I29" i="11"/>
  <c r="I28" i="11"/>
  <c r="I27" i="11"/>
  <c r="K27" i="11" s="1"/>
  <c r="N27" i="14" s="1"/>
  <c r="I26" i="11"/>
  <c r="I25" i="11"/>
  <c r="I24" i="11"/>
  <c r="I23" i="11"/>
  <c r="K23" i="11" s="1"/>
  <c r="N23" i="14" s="1"/>
  <c r="I22" i="11"/>
  <c r="I21" i="11"/>
  <c r="I20" i="11"/>
  <c r="I19" i="11"/>
  <c r="I18" i="11"/>
  <c r="I17" i="11"/>
  <c r="I16" i="11"/>
  <c r="I15" i="11"/>
  <c r="I14" i="11"/>
  <c r="I13" i="11"/>
  <c r="I12" i="11"/>
  <c r="I10" i="11"/>
  <c r="I9" i="11"/>
  <c r="I8" i="11"/>
  <c r="I7" i="11"/>
  <c r="I6" i="1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H35" i="11"/>
  <c r="G35" i="11"/>
  <c r="F35" i="11"/>
  <c r="E35" i="11"/>
  <c r="D35" i="11"/>
  <c r="C35" i="11"/>
  <c r="B35" i="11"/>
  <c r="I35" i="10"/>
  <c r="H35" i="10"/>
  <c r="G35" i="10"/>
  <c r="F35" i="10"/>
  <c r="E35" i="10"/>
  <c r="D35" i="10"/>
  <c r="C35" i="10"/>
  <c r="B35" i="10"/>
  <c r="F35" i="9"/>
  <c r="E35" i="9"/>
  <c r="D35" i="9"/>
  <c r="C35" i="9"/>
  <c r="B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I35" i="8"/>
  <c r="H35" i="8"/>
  <c r="G35" i="8"/>
  <c r="F35" i="8"/>
  <c r="E35" i="8"/>
  <c r="D35" i="8"/>
  <c r="C35" i="8"/>
  <c r="B35" i="8"/>
  <c r="K34" i="8"/>
  <c r="K33" i="8"/>
  <c r="K32" i="8"/>
  <c r="K31" i="8"/>
  <c r="K30" i="8"/>
  <c r="K29" i="8"/>
  <c r="K28" i="8"/>
  <c r="K27" i="8"/>
  <c r="K26" i="8"/>
  <c r="K25" i="8"/>
  <c r="K24" i="8"/>
  <c r="K23" i="8"/>
  <c r="K22" i="8"/>
  <c r="K21" i="8"/>
  <c r="K20" i="8"/>
  <c r="K19" i="8"/>
  <c r="K18" i="8"/>
  <c r="K17" i="8"/>
  <c r="K16" i="8"/>
  <c r="K15" i="8"/>
  <c r="K14" i="8"/>
  <c r="K13" i="8"/>
  <c r="K12" i="8"/>
  <c r="K11" i="8"/>
  <c r="K10" i="8"/>
  <c r="K9" i="8"/>
  <c r="K8" i="8"/>
  <c r="K7" i="8"/>
  <c r="K6" i="8"/>
  <c r="K5" i="8"/>
  <c r="H35" i="7"/>
  <c r="G35" i="7"/>
  <c r="F35" i="7"/>
  <c r="E35" i="7"/>
  <c r="D35" i="7"/>
  <c r="C35" i="7"/>
  <c r="B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G35" i="6"/>
  <c r="F35" i="6"/>
  <c r="E35" i="6"/>
  <c r="D35" i="6"/>
  <c r="C35" i="6"/>
  <c r="B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G35" i="5"/>
  <c r="F35" i="5"/>
  <c r="E35" i="5"/>
  <c r="D35" i="5"/>
  <c r="C35" i="5"/>
  <c r="B35" i="5"/>
  <c r="I34" i="5"/>
  <c r="I33" i="5"/>
  <c r="I32" i="5"/>
  <c r="I31" i="5"/>
  <c r="I30" i="5"/>
  <c r="I29" i="5"/>
  <c r="I28" i="5"/>
  <c r="I27" i="5"/>
  <c r="I26" i="5"/>
  <c r="I25" i="5"/>
  <c r="I24" i="5"/>
  <c r="I23" i="5"/>
  <c r="I22" i="5"/>
  <c r="I21" i="5"/>
  <c r="I20" i="5"/>
  <c r="I19" i="5"/>
  <c r="I18" i="5"/>
  <c r="I17" i="5"/>
  <c r="I16" i="5"/>
  <c r="I15" i="5"/>
  <c r="I14" i="5"/>
  <c r="I13" i="5"/>
  <c r="I12" i="5"/>
  <c r="I11" i="5"/>
  <c r="I10" i="5"/>
  <c r="I8" i="5"/>
  <c r="I7" i="5"/>
  <c r="I6" i="5"/>
  <c r="I5" i="5"/>
  <c r="F35" i="4"/>
  <c r="E35" i="4"/>
  <c r="D35" i="4"/>
  <c r="C35" i="4"/>
  <c r="B35" i="4"/>
  <c r="H34" i="4"/>
  <c r="H33" i="4"/>
  <c r="H32" i="4"/>
  <c r="H31" i="4"/>
  <c r="H30" i="4"/>
  <c r="H29" i="4"/>
  <c r="H28" i="4"/>
  <c r="H27" i="4"/>
  <c r="H26" i="4"/>
  <c r="H25" i="4"/>
  <c r="H24" i="4"/>
  <c r="H23" i="4"/>
  <c r="H22" i="4"/>
  <c r="H21" i="4"/>
  <c r="H20" i="4"/>
  <c r="H19" i="4"/>
  <c r="H18" i="4"/>
  <c r="H17" i="4"/>
  <c r="H16" i="4"/>
  <c r="H15" i="4"/>
  <c r="H14" i="4"/>
  <c r="H13" i="4"/>
  <c r="H12" i="4"/>
  <c r="H11" i="4"/>
  <c r="H10" i="4"/>
  <c r="H9" i="4"/>
  <c r="H8" i="4"/>
  <c r="H7" i="4"/>
  <c r="H6" i="4"/>
  <c r="H5" i="4"/>
  <c r="F35" i="3"/>
  <c r="E35" i="3"/>
  <c r="D35" i="3"/>
  <c r="C35" i="3"/>
  <c r="B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F35" i="1"/>
  <c r="E35" i="1"/>
  <c r="D35" i="1"/>
  <c r="C35" i="1"/>
  <c r="B35" i="1"/>
  <c r="K33" i="11" l="1"/>
  <c r="N33" i="14" s="1"/>
  <c r="I34" i="9"/>
  <c r="L34" i="14" s="1"/>
  <c r="L31" i="8"/>
  <c r="K31" i="14" s="1"/>
  <c r="L32" i="8"/>
  <c r="K32" i="14" s="1"/>
  <c r="J33" i="6"/>
  <c r="I33" i="14" s="1"/>
  <c r="J34" i="6"/>
  <c r="I34" i="14" s="1"/>
  <c r="I31" i="3"/>
  <c r="F31" i="14" s="1"/>
  <c r="I32" i="3"/>
  <c r="F32" i="14" s="1"/>
  <c r="K26" i="11"/>
  <c r="N26" i="14" s="1"/>
  <c r="K19" i="11"/>
  <c r="N19" i="14" s="1"/>
  <c r="K16" i="11"/>
  <c r="N16" i="14" s="1"/>
  <c r="K17" i="11"/>
  <c r="N17" i="14" s="1"/>
  <c r="K15" i="11"/>
  <c r="N15" i="14" s="1"/>
  <c r="J30" i="6"/>
  <c r="I30" i="14" s="1"/>
  <c r="K24" i="11"/>
  <c r="N24" i="14" s="1"/>
  <c r="K30" i="11"/>
  <c r="N30" i="14" s="1"/>
  <c r="K25" i="11"/>
  <c r="N25" i="14" s="1"/>
  <c r="K29" i="11"/>
  <c r="N29" i="14" s="1"/>
  <c r="K12" i="11"/>
  <c r="N12" i="14" s="1"/>
  <c r="K28" i="11"/>
  <c r="N28" i="14" s="1"/>
  <c r="I27" i="4"/>
  <c r="G27" i="14" s="1"/>
  <c r="K22" i="11"/>
  <c r="N22" i="14" s="1"/>
  <c r="K21" i="11"/>
  <c r="N21" i="14" s="1"/>
  <c r="K14" i="11"/>
  <c r="N14" i="14" s="1"/>
  <c r="L29" i="8"/>
  <c r="K29" i="14" s="1"/>
  <c r="J29" i="6"/>
  <c r="I29" i="14" s="1"/>
  <c r="I26" i="4"/>
  <c r="G26" i="14" s="1"/>
  <c r="J20" i="6"/>
  <c r="I20" i="14" s="1"/>
  <c r="I17" i="4"/>
  <c r="G17" i="14" s="1"/>
  <c r="L15" i="8"/>
  <c r="K15" i="14" s="1"/>
  <c r="K13" i="11"/>
  <c r="N13" i="14" s="1"/>
  <c r="I11" i="9"/>
  <c r="L11" i="14" s="1"/>
  <c r="J9" i="6"/>
  <c r="I9" i="14" s="1"/>
  <c r="L30" i="10"/>
  <c r="M30" i="14" s="1"/>
  <c r="I30" i="9"/>
  <c r="L30" i="14" s="1"/>
  <c r="L30" i="8"/>
  <c r="K30" i="14" s="1"/>
  <c r="I30" i="4"/>
  <c r="G30" i="14" s="1"/>
  <c r="I30" i="3"/>
  <c r="F30" i="14" s="1"/>
  <c r="L29" i="10"/>
  <c r="M29" i="14" s="1"/>
  <c r="I29" i="9"/>
  <c r="L29" i="14" s="1"/>
  <c r="J29" i="5"/>
  <c r="H29" i="14" s="1"/>
  <c r="I29" i="4"/>
  <c r="G29" i="14" s="1"/>
  <c r="I29" i="3"/>
  <c r="F29" i="14" s="1"/>
  <c r="L28" i="10"/>
  <c r="M28" i="14" s="1"/>
  <c r="I28" i="9"/>
  <c r="L28" i="14" s="1"/>
  <c r="L28" i="8"/>
  <c r="K28" i="14" s="1"/>
  <c r="J28" i="6"/>
  <c r="I28" i="14" s="1"/>
  <c r="J28" i="5"/>
  <c r="H28" i="14" s="1"/>
  <c r="I28" i="4"/>
  <c r="G28" i="14" s="1"/>
  <c r="I28" i="3"/>
  <c r="F28" i="14" s="1"/>
  <c r="L27" i="10"/>
  <c r="M27" i="14" s="1"/>
  <c r="I27" i="9"/>
  <c r="L27" i="14" s="1"/>
  <c r="J27" i="6"/>
  <c r="I27" i="14" s="1"/>
  <c r="J27" i="5"/>
  <c r="H27" i="14" s="1"/>
  <c r="I27" i="3"/>
  <c r="F27" i="14" s="1"/>
  <c r="L26" i="10"/>
  <c r="M26" i="14" s="1"/>
  <c r="I26" i="9"/>
  <c r="L26" i="14" s="1"/>
  <c r="J26" i="6"/>
  <c r="I26" i="14" s="1"/>
  <c r="J26" i="5"/>
  <c r="H26" i="14" s="1"/>
  <c r="I26" i="3"/>
  <c r="F26" i="14" s="1"/>
  <c r="L25" i="10"/>
  <c r="M25" i="14" s="1"/>
  <c r="I25" i="9"/>
  <c r="L25" i="14" s="1"/>
  <c r="J25" i="6"/>
  <c r="I25" i="14" s="1"/>
  <c r="I25" i="4"/>
  <c r="G25" i="14" s="1"/>
  <c r="I25" i="3"/>
  <c r="F25" i="14" s="1"/>
  <c r="L24" i="10"/>
  <c r="M24" i="14" s="1"/>
  <c r="I24" i="9"/>
  <c r="L24" i="14" s="1"/>
  <c r="L24" i="8"/>
  <c r="K24" i="14" s="1"/>
  <c r="J24" i="6"/>
  <c r="I24" i="14" s="1"/>
  <c r="I24" i="4"/>
  <c r="G24" i="14" s="1"/>
  <c r="I24" i="3"/>
  <c r="F24" i="14" s="1"/>
  <c r="L23" i="10"/>
  <c r="M23" i="14" s="1"/>
  <c r="I23" i="9"/>
  <c r="L23" i="14" s="1"/>
  <c r="L23" i="8"/>
  <c r="K23" i="14" s="1"/>
  <c r="J23" i="6"/>
  <c r="I23" i="14" s="1"/>
  <c r="I23" i="4"/>
  <c r="G23" i="14" s="1"/>
  <c r="I23" i="3"/>
  <c r="F23" i="14" s="1"/>
  <c r="L22" i="10"/>
  <c r="M22" i="14" s="1"/>
  <c r="I22" i="9"/>
  <c r="L22" i="14" s="1"/>
  <c r="L22" i="8"/>
  <c r="K22" i="14" s="1"/>
  <c r="J22" i="6"/>
  <c r="I22" i="14" s="1"/>
  <c r="I22" i="4"/>
  <c r="G22" i="14" s="1"/>
  <c r="I22" i="3"/>
  <c r="F22" i="14" s="1"/>
  <c r="L21" i="10"/>
  <c r="M21" i="14" s="1"/>
  <c r="I21" i="9"/>
  <c r="L21" i="14" s="1"/>
  <c r="L21" i="8"/>
  <c r="K21" i="14" s="1"/>
  <c r="J21" i="6"/>
  <c r="I21" i="14" s="1"/>
  <c r="J21" i="5"/>
  <c r="H21" i="14" s="1"/>
  <c r="I21" i="4"/>
  <c r="G21" i="14" s="1"/>
  <c r="I21" i="3"/>
  <c r="F21" i="14" s="1"/>
  <c r="K20" i="11"/>
  <c r="N20" i="14" s="1"/>
  <c r="L20" i="10"/>
  <c r="M20" i="14" s="1"/>
  <c r="I20" i="9"/>
  <c r="L20" i="14" s="1"/>
  <c r="L20" i="8"/>
  <c r="K20" i="14" s="1"/>
  <c r="J20" i="5"/>
  <c r="H20" i="14" s="1"/>
  <c r="I20" i="4"/>
  <c r="G20" i="14" s="1"/>
  <c r="I20" i="3"/>
  <c r="F20" i="14" s="1"/>
  <c r="L19" i="10"/>
  <c r="M19" i="14" s="1"/>
  <c r="I19" i="9"/>
  <c r="L19" i="14" s="1"/>
  <c r="J19" i="6"/>
  <c r="I19" i="14" s="1"/>
  <c r="J19" i="5"/>
  <c r="H19" i="14" s="1"/>
  <c r="I19" i="4"/>
  <c r="G19" i="14" s="1"/>
  <c r="I19" i="3"/>
  <c r="F19" i="14" s="1"/>
  <c r="K18" i="11"/>
  <c r="N18" i="14" s="1"/>
  <c r="L18" i="10"/>
  <c r="M18" i="14" s="1"/>
  <c r="I18" i="9"/>
  <c r="L18" i="14" s="1"/>
  <c r="J18" i="6"/>
  <c r="I18" i="14" s="1"/>
  <c r="J18" i="5"/>
  <c r="H18" i="14" s="1"/>
  <c r="I18" i="4"/>
  <c r="G18" i="14" s="1"/>
  <c r="I18" i="3"/>
  <c r="F18" i="14" s="1"/>
  <c r="L17" i="10"/>
  <c r="M17" i="14" s="1"/>
  <c r="I17" i="9"/>
  <c r="L17" i="14" s="1"/>
  <c r="J17" i="6"/>
  <c r="I17" i="14" s="1"/>
  <c r="I17" i="3"/>
  <c r="F17" i="14" s="1"/>
  <c r="L16" i="10"/>
  <c r="M16" i="14" s="1"/>
  <c r="I16" i="9"/>
  <c r="L16" i="14" s="1"/>
  <c r="L16" i="8"/>
  <c r="K16" i="14" s="1"/>
  <c r="J16" i="6"/>
  <c r="I16" i="14" s="1"/>
  <c r="I16" i="4"/>
  <c r="G16" i="14" s="1"/>
  <c r="I16" i="3"/>
  <c r="F16" i="14" s="1"/>
  <c r="L15" i="10"/>
  <c r="M15" i="14" s="1"/>
  <c r="I15" i="9"/>
  <c r="L15" i="14" s="1"/>
  <c r="J15" i="6"/>
  <c r="I15" i="14" s="1"/>
  <c r="I15" i="4"/>
  <c r="G15" i="14" s="1"/>
  <c r="I15" i="3"/>
  <c r="F15" i="14" s="1"/>
  <c r="L14" i="10"/>
  <c r="M14" i="14" s="1"/>
  <c r="I14" i="9"/>
  <c r="L14" i="14" s="1"/>
  <c r="L14" i="8"/>
  <c r="K14" i="14" s="1"/>
  <c r="J14" i="6"/>
  <c r="I14" i="14" s="1"/>
  <c r="I14" i="4"/>
  <c r="G14" i="14" s="1"/>
  <c r="I14" i="3"/>
  <c r="F14" i="14" s="1"/>
  <c r="L13" i="10"/>
  <c r="M13" i="14" s="1"/>
  <c r="I13" i="9"/>
  <c r="L13" i="14" s="1"/>
  <c r="L13" i="8"/>
  <c r="K13" i="14" s="1"/>
  <c r="J13" i="5"/>
  <c r="H13" i="14" s="1"/>
  <c r="I13" i="4"/>
  <c r="G13" i="14" s="1"/>
  <c r="I13" i="3"/>
  <c r="F13" i="14" s="1"/>
  <c r="L12" i="10"/>
  <c r="M12" i="14" s="1"/>
  <c r="I12" i="9"/>
  <c r="L12" i="14" s="1"/>
  <c r="L12" i="8"/>
  <c r="K12" i="14" s="1"/>
  <c r="J12" i="6"/>
  <c r="I12" i="14" s="1"/>
  <c r="J12" i="5"/>
  <c r="H12" i="14" s="1"/>
  <c r="I12" i="4"/>
  <c r="G12" i="14" s="1"/>
  <c r="I12" i="3"/>
  <c r="F12" i="14" s="1"/>
  <c r="K11" i="11"/>
  <c r="N11" i="14" s="1"/>
  <c r="L11" i="10"/>
  <c r="M11" i="14" s="1"/>
  <c r="J11" i="6"/>
  <c r="I11" i="14" s="1"/>
  <c r="J11" i="5"/>
  <c r="H11" i="14" s="1"/>
  <c r="I11" i="4"/>
  <c r="G11" i="14" s="1"/>
  <c r="I11" i="3"/>
  <c r="F11" i="14" s="1"/>
  <c r="K10" i="11"/>
  <c r="N10" i="14" s="1"/>
  <c r="L10" i="10"/>
  <c r="M10" i="14" s="1"/>
  <c r="I10" i="9"/>
  <c r="L10" i="14" s="1"/>
  <c r="J10" i="6"/>
  <c r="I10" i="14" s="1"/>
  <c r="J10" i="5"/>
  <c r="H10" i="14" s="1"/>
  <c r="I10" i="4"/>
  <c r="G10" i="14" s="1"/>
  <c r="I10" i="3"/>
  <c r="F10" i="14" s="1"/>
  <c r="K9" i="11"/>
  <c r="N9" i="14" s="1"/>
  <c r="L9" i="10"/>
  <c r="M9" i="14" s="1"/>
  <c r="I9" i="9"/>
  <c r="L9" i="14" s="1"/>
  <c r="I9" i="4"/>
  <c r="G9" i="14" s="1"/>
  <c r="I9" i="3"/>
  <c r="F9" i="14" s="1"/>
  <c r="K8" i="11"/>
  <c r="N8" i="14" s="1"/>
  <c r="L8" i="10"/>
  <c r="M8" i="14" s="1"/>
  <c r="I8" i="9"/>
  <c r="L8" i="14" s="1"/>
  <c r="L8" i="8"/>
  <c r="K8" i="14" s="1"/>
  <c r="J8" i="6"/>
  <c r="I8" i="14" s="1"/>
  <c r="I8" i="4"/>
  <c r="G8" i="14" s="1"/>
  <c r="I8" i="3"/>
  <c r="F8" i="14" s="1"/>
  <c r="K7" i="11"/>
  <c r="N7" i="14" s="1"/>
  <c r="L7" i="10"/>
  <c r="M7" i="14" s="1"/>
  <c r="I7" i="9"/>
  <c r="L7" i="14" s="1"/>
  <c r="L7" i="8"/>
  <c r="K7" i="14" s="1"/>
  <c r="J7" i="6"/>
  <c r="I7" i="14" s="1"/>
  <c r="I7" i="4"/>
  <c r="G7" i="14" s="1"/>
  <c r="I7" i="3"/>
  <c r="F7" i="14" s="1"/>
  <c r="K6" i="11"/>
  <c r="N6" i="14" s="1"/>
  <c r="I6" i="9"/>
  <c r="L6" i="14" s="1"/>
  <c r="L6" i="8"/>
  <c r="K6" i="14" s="1"/>
  <c r="J6" i="6"/>
  <c r="I6" i="14" s="1"/>
  <c r="I6" i="4"/>
  <c r="G6" i="14" s="1"/>
  <c r="I6" i="3"/>
  <c r="F6" i="14" s="1"/>
  <c r="J5" i="6"/>
  <c r="I5" i="14" s="1"/>
  <c r="K5" i="11"/>
  <c r="N5" i="14" s="1"/>
  <c r="D22" i="14"/>
  <c r="D15" i="14"/>
  <c r="D31" i="14"/>
  <c r="D16" i="14"/>
  <c r="D24" i="14"/>
  <c r="D32" i="14"/>
  <c r="D14" i="14"/>
  <c r="D30" i="14"/>
  <c r="D23" i="14"/>
  <c r="D17" i="14"/>
  <c r="D25" i="14"/>
  <c r="D33" i="14"/>
  <c r="D27" i="14"/>
  <c r="D10" i="14"/>
  <c r="D18" i="14"/>
  <c r="D26" i="14"/>
  <c r="D34" i="14"/>
  <c r="D19" i="14"/>
  <c r="D12" i="14"/>
  <c r="D20" i="14"/>
  <c r="D28" i="14"/>
  <c r="D11" i="14"/>
  <c r="D21" i="14"/>
  <c r="D29" i="14"/>
  <c r="J13" i="6"/>
  <c r="I13" i="14" s="1"/>
  <c r="L9" i="8"/>
  <c r="K9" i="14" s="1"/>
  <c r="L17" i="8"/>
  <c r="K17" i="14" s="1"/>
  <c r="L25" i="8"/>
  <c r="K25" i="14" s="1"/>
  <c r="L33" i="8"/>
  <c r="K33" i="14" s="1"/>
  <c r="L10" i="8"/>
  <c r="K10" i="14" s="1"/>
  <c r="L18" i="8"/>
  <c r="K18" i="14" s="1"/>
  <c r="L26" i="8"/>
  <c r="K26" i="14" s="1"/>
  <c r="L34" i="8"/>
  <c r="K34" i="14" s="1"/>
  <c r="L11" i="8"/>
  <c r="K11" i="14" s="1"/>
  <c r="L19" i="8"/>
  <c r="K19" i="14" s="1"/>
  <c r="L27" i="8"/>
  <c r="K27" i="14" s="1"/>
  <c r="K6" i="7"/>
  <c r="J6" i="14" s="1"/>
  <c r="K22" i="7"/>
  <c r="J22" i="14" s="1"/>
  <c r="K15" i="7"/>
  <c r="J15" i="14" s="1"/>
  <c r="K31" i="7"/>
  <c r="J31" i="14" s="1"/>
  <c r="K16" i="7"/>
  <c r="J16" i="14" s="1"/>
  <c r="K24" i="7"/>
  <c r="J24" i="14" s="1"/>
  <c r="K9" i="7"/>
  <c r="J9" i="14" s="1"/>
  <c r="K25" i="7"/>
  <c r="J25" i="14" s="1"/>
  <c r="K10" i="7"/>
  <c r="J10" i="14" s="1"/>
  <c r="K26" i="7"/>
  <c r="J26" i="14" s="1"/>
  <c r="K12" i="7"/>
  <c r="J12" i="14" s="1"/>
  <c r="K20" i="7"/>
  <c r="J20" i="14" s="1"/>
  <c r="K28" i="7"/>
  <c r="J28" i="14" s="1"/>
  <c r="K14" i="7"/>
  <c r="J14" i="14" s="1"/>
  <c r="K30" i="7"/>
  <c r="J30" i="14" s="1"/>
  <c r="K7" i="7"/>
  <c r="J7" i="14" s="1"/>
  <c r="K23" i="7"/>
  <c r="J23" i="14" s="1"/>
  <c r="K8" i="7"/>
  <c r="J8" i="14" s="1"/>
  <c r="K32" i="7"/>
  <c r="J32" i="14" s="1"/>
  <c r="K17" i="7"/>
  <c r="J17" i="14" s="1"/>
  <c r="K33" i="7"/>
  <c r="J33" i="14" s="1"/>
  <c r="K18" i="7"/>
  <c r="J18" i="14" s="1"/>
  <c r="K34" i="7"/>
  <c r="J34" i="14" s="1"/>
  <c r="K11" i="7"/>
  <c r="J11" i="14" s="1"/>
  <c r="K19" i="7"/>
  <c r="J19" i="14" s="1"/>
  <c r="K27" i="7"/>
  <c r="J27" i="14" s="1"/>
  <c r="K13" i="7"/>
  <c r="J13" i="14" s="1"/>
  <c r="K21" i="7"/>
  <c r="J21" i="14" s="1"/>
  <c r="K29" i="7"/>
  <c r="J29" i="14" s="1"/>
  <c r="J32" i="5"/>
  <c r="H32" i="14" s="1"/>
  <c r="J6" i="5"/>
  <c r="H6" i="14" s="1"/>
  <c r="J14" i="5"/>
  <c r="H14" i="14" s="1"/>
  <c r="J22" i="5"/>
  <c r="H22" i="14" s="1"/>
  <c r="J30" i="5"/>
  <c r="H30" i="14" s="1"/>
  <c r="J7" i="5"/>
  <c r="H7" i="14" s="1"/>
  <c r="J15" i="5"/>
  <c r="H15" i="14" s="1"/>
  <c r="J23" i="5"/>
  <c r="H23" i="14" s="1"/>
  <c r="J31" i="5"/>
  <c r="H31" i="14" s="1"/>
  <c r="J8" i="5"/>
  <c r="H8" i="14" s="1"/>
  <c r="J16" i="5"/>
  <c r="H16" i="14" s="1"/>
  <c r="J24" i="5"/>
  <c r="H24" i="14" s="1"/>
  <c r="J9" i="5"/>
  <c r="H9" i="14" s="1"/>
  <c r="Q9" i="14" s="1" a="1"/>
  <c r="Q9" i="14" s="1"/>
  <c r="J17" i="5"/>
  <c r="H17" i="14" s="1"/>
  <c r="J25" i="5"/>
  <c r="H25" i="14" s="1"/>
  <c r="J33" i="5"/>
  <c r="H33" i="14" s="1"/>
  <c r="E15" i="14"/>
  <c r="E23" i="14"/>
  <c r="E31" i="14"/>
  <c r="E16" i="14"/>
  <c r="E24" i="14"/>
  <c r="E32" i="14"/>
  <c r="E17" i="14"/>
  <c r="E25" i="14"/>
  <c r="E33" i="14"/>
  <c r="E10" i="14"/>
  <c r="E18" i="14"/>
  <c r="E26" i="14"/>
  <c r="E34" i="14"/>
  <c r="E11" i="14"/>
  <c r="E19" i="14"/>
  <c r="E27" i="14"/>
  <c r="D13" i="14"/>
  <c r="R35" i="14" a="1"/>
  <c r="R35" i="14" s="1"/>
  <c r="I5" i="9"/>
  <c r="L5" i="14" s="1"/>
  <c r="I5" i="4"/>
  <c r="G5" i="14" s="1"/>
  <c r="L5" i="8"/>
  <c r="K5" i="14" s="1"/>
  <c r="L5" i="10"/>
  <c r="M5" i="14" s="1"/>
  <c r="L6" i="10"/>
  <c r="M6" i="14" s="1"/>
  <c r="J5" i="5"/>
  <c r="H5" i="14" s="1"/>
  <c r="K5" i="7"/>
  <c r="J5" i="14" s="1"/>
  <c r="I5" i="3"/>
  <c r="F5" i="14" s="1"/>
  <c r="P7" i="14" l="1" a="1"/>
  <c r="P7" i="14" s="1"/>
  <c r="O7" i="14" a="1"/>
  <c r="O7" i="14" s="1"/>
  <c r="Q8" i="14" a="1"/>
  <c r="Q8" i="14" s="1"/>
  <c r="Q6" i="14" a="1"/>
  <c r="Q6" i="14" s="1"/>
  <c r="P9" i="14" a="1"/>
  <c r="P9" i="14" s="1"/>
  <c r="P6" i="14" a="1"/>
  <c r="P6" i="14" s="1"/>
  <c r="O6" i="14" a="1"/>
  <c r="O6" i="14" s="1"/>
  <c r="O5" i="14" a="1"/>
  <c r="O5" i="14" s="1"/>
  <c r="P5" i="14" a="1"/>
  <c r="P5" i="14" s="1"/>
  <c r="Q7" i="14" a="1"/>
  <c r="Q7" i="14" s="1"/>
  <c r="Q5" i="14" a="1"/>
  <c r="Q5" i="14" s="1"/>
  <c r="P8" i="14" a="1"/>
  <c r="P8" i="14" s="1"/>
  <c r="O8" i="14" a="1"/>
  <c r="O8" i="14" s="1"/>
  <c r="O9" i="14" a="1"/>
  <c r="O9" i="14" s="1"/>
  <c r="Q29" i="14" a="1"/>
  <c r="Q29" i="14" s="1"/>
  <c r="P28" i="14" a="1"/>
  <c r="P28" i="14" s="1"/>
  <c r="P22" i="14" a="1"/>
  <c r="P22" i="14" s="1"/>
  <c r="P30" i="14" a="1"/>
  <c r="P30" i="14" s="1"/>
  <c r="P29" i="14" a="1"/>
  <c r="P29" i="14" s="1"/>
  <c r="Q28" i="14" a="1"/>
  <c r="Q28" i="14" s="1"/>
  <c r="P26" i="14" a="1"/>
  <c r="P26" i="14" s="1"/>
  <c r="Q21" i="14" a="1"/>
  <c r="Q21" i="14" s="1"/>
  <c r="P21" i="14" a="1"/>
  <c r="P21" i="14" s="1"/>
  <c r="Q20" i="14" a="1"/>
  <c r="Q20" i="14" s="1"/>
  <c r="P14" i="14" a="1"/>
  <c r="P14" i="14" s="1"/>
  <c r="P13" i="14" a="1"/>
  <c r="P13" i="14" s="1"/>
  <c r="Q12" i="14" a="1"/>
  <c r="Q12" i="14" s="1"/>
  <c r="P12" i="14" a="1"/>
  <c r="P12" i="14" s="1"/>
  <c r="P10" i="14" a="1"/>
  <c r="P10" i="14" s="1"/>
  <c r="F35" i="14" a="1"/>
  <c r="F35" i="14" s="1"/>
  <c r="N35" i="14" a="1"/>
  <c r="N35" i="14" s="1"/>
  <c r="L35" i="14" a="1"/>
  <c r="L35" i="14" s="1"/>
  <c r="G35" i="14" a="1"/>
  <c r="G35" i="14" s="1"/>
  <c r="P11" i="14" a="1"/>
  <c r="P11" i="14" s="1"/>
  <c r="P18" i="14" a="1"/>
  <c r="P18" i="14" s="1"/>
  <c r="K40" i="11"/>
  <c r="P15" i="14" a="1"/>
  <c r="P15" i="14" s="1"/>
  <c r="I41" i="9"/>
  <c r="I39" i="9"/>
  <c r="I42" i="9"/>
  <c r="P23" i="14" a="1"/>
  <c r="P23" i="14" s="1"/>
  <c r="O31" i="14" a="1"/>
  <c r="O31" i="14" s="1"/>
  <c r="I41" i="4"/>
  <c r="I35" i="14" a="1"/>
  <c r="I35" i="14" s="1"/>
  <c r="Q22" i="14" a="1"/>
  <c r="Q22" i="14" s="1"/>
  <c r="O27" i="14" a="1"/>
  <c r="O27" i="14" s="1"/>
  <c r="P19" i="14" a="1"/>
  <c r="P19" i="14" s="1"/>
  <c r="J39" i="6"/>
  <c r="O22" i="14" a="1"/>
  <c r="O22" i="14" s="1"/>
  <c r="O29" i="14" a="1"/>
  <c r="O29" i="14" s="1"/>
  <c r="Q27" i="14" a="1"/>
  <c r="Q27" i="14" s="1"/>
  <c r="P33" i="14" a="1"/>
  <c r="P33" i="14" s="1"/>
  <c r="I40" i="9"/>
  <c r="I40" i="4"/>
  <c r="O16" i="14" a="1"/>
  <c r="O16" i="14" s="1"/>
  <c r="Q11" i="14" a="1"/>
  <c r="Q11" i="14" s="1"/>
  <c r="O20" i="14" a="1"/>
  <c r="O20" i="14" s="1"/>
  <c r="O21" i="14" a="1"/>
  <c r="O21" i="14" s="1"/>
  <c r="Q10" i="14" a="1"/>
  <c r="Q10" i="14" s="1"/>
  <c r="Q33" i="14" a="1"/>
  <c r="Q33" i="14" s="1"/>
  <c r="Q23" i="14" a="1"/>
  <c r="Q23" i="14" s="1"/>
  <c r="J41" i="6"/>
  <c r="J42" i="6"/>
  <c r="J40" i="6"/>
  <c r="Q30" i="14" a="1"/>
  <c r="Q30" i="14" s="1"/>
  <c r="Q19" i="14" a="1"/>
  <c r="Q19" i="14" s="1"/>
  <c r="O28" i="14" a="1"/>
  <c r="O28" i="14" s="1"/>
  <c r="O11" i="14" a="1"/>
  <c r="O11" i="14" s="1"/>
  <c r="Q13" i="14" a="1"/>
  <c r="Q13" i="14" s="1"/>
  <c r="Q25" i="14" a="1"/>
  <c r="Q25" i="14" s="1"/>
  <c r="Q26" i="14" a="1"/>
  <c r="Q26" i="14" s="1"/>
  <c r="Q14" i="14" a="1"/>
  <c r="Q14" i="14" s="1"/>
  <c r="Q16" i="14" a="1"/>
  <c r="Q16" i="14" s="1"/>
  <c r="Q31" i="14" a="1"/>
  <c r="Q31" i="14" s="1"/>
  <c r="Q32" i="14" a="1"/>
  <c r="Q32" i="14" s="1"/>
  <c r="O19" i="14" a="1"/>
  <c r="O19" i="14" s="1"/>
  <c r="P17" i="14" a="1"/>
  <c r="P17" i="14" s="1"/>
  <c r="P27" i="14" a="1"/>
  <c r="P27" i="14" s="1"/>
  <c r="O10" i="14" a="1"/>
  <c r="O10" i="14" s="1"/>
  <c r="P25" i="14" a="1"/>
  <c r="P25" i="14" s="1"/>
  <c r="O15" i="14" a="1"/>
  <c r="O15" i="14" s="1"/>
  <c r="O25" i="14" a="1"/>
  <c r="O25" i="14" s="1"/>
  <c r="P16" i="14" a="1"/>
  <c r="P16" i="14" s="1"/>
  <c r="P31" i="14" a="1"/>
  <c r="P31" i="14" s="1"/>
  <c r="P32" i="14" a="1"/>
  <c r="P32" i="14" s="1"/>
  <c r="P24" i="14" a="1"/>
  <c r="P24" i="14" s="1"/>
  <c r="P20" i="14" a="1"/>
  <c r="P20" i="14" s="1"/>
  <c r="O12" i="14" a="1"/>
  <c r="O12" i="14" s="1"/>
  <c r="Q34" i="14" a="1"/>
  <c r="Q34" i="14" s="1"/>
  <c r="K35" i="14" a="1"/>
  <c r="K35" i="14" s="1"/>
  <c r="Q18" i="14" a="1"/>
  <c r="Q18" i="14" s="1"/>
  <c r="O34" i="14" a="1"/>
  <c r="O34" i="14" s="1"/>
  <c r="O17" i="14" a="1"/>
  <c r="O17" i="14" s="1"/>
  <c r="J35" i="14" a="1"/>
  <c r="J35" i="14" s="1"/>
  <c r="O14" i="14" a="1"/>
  <c r="O14" i="14" s="1"/>
  <c r="O30" i="14" a="1"/>
  <c r="O30" i="14" s="1"/>
  <c r="O18" i="14" a="1"/>
  <c r="O18" i="14" s="1"/>
  <c r="Q24" i="14" a="1"/>
  <c r="Q24" i="14" s="1"/>
  <c r="Q15" i="14" a="1"/>
  <c r="Q15" i="14" s="1"/>
  <c r="Q17" i="14" a="1"/>
  <c r="Q17" i="14" s="1"/>
  <c r="O23" i="14" a="1"/>
  <c r="O23" i="14" s="1"/>
  <c r="O33" i="14" a="1"/>
  <c r="O33" i="14" s="1"/>
  <c r="P34" i="14" a="1"/>
  <c r="P34" i="14" s="1"/>
  <c r="E35" i="14" a="1"/>
  <c r="E35" i="14" s="1"/>
  <c r="O32" i="14" a="1"/>
  <c r="O32" i="14" s="1"/>
  <c r="O26" i="14" a="1"/>
  <c r="O26" i="14" s="1"/>
  <c r="O24" i="14" a="1"/>
  <c r="O24" i="14" s="1"/>
  <c r="O13" i="14" a="1"/>
  <c r="O13" i="14" s="1"/>
  <c r="I39" i="4"/>
  <c r="I42" i="4"/>
  <c r="K42" i="11"/>
  <c r="K41" i="11"/>
  <c r="L39" i="8"/>
  <c r="K39" i="11"/>
  <c r="L41" i="8"/>
  <c r="L42" i="8"/>
  <c r="L40" i="8"/>
  <c r="I41" i="1"/>
  <c r="I39" i="1"/>
  <c r="J41" i="5"/>
  <c r="J39" i="5"/>
  <c r="I40" i="1"/>
  <c r="M35" i="14" a="1"/>
  <c r="M35" i="14" s="1"/>
  <c r="I42" i="1"/>
  <c r="K41" i="7"/>
  <c r="I39" i="3"/>
  <c r="H35" i="14" a="1"/>
  <c r="H35" i="14" s="1"/>
  <c r="D35" i="14" a="1"/>
  <c r="D35" i="14" s="1"/>
  <c r="L41" i="10"/>
  <c r="L40" i="10"/>
  <c r="L39" i="10"/>
  <c r="L42" i="10"/>
  <c r="J42" i="5"/>
  <c r="I41" i="3"/>
  <c r="K42" i="7"/>
  <c r="J40" i="5"/>
  <c r="K40" i="7"/>
  <c r="I42" i="3"/>
  <c r="K39" i="7"/>
  <c r="I40" i="3"/>
  <c r="O35" i="14" l="1" a="1"/>
  <c r="O35" i="14" s="1"/>
  <c r="P35" i="14" a="1"/>
  <c r="P35" i="14" s="1"/>
  <c r="Q35" i="14" a="1"/>
  <c r="Q35" i="14" s="1"/>
  <c r="T35" i="14" a="1"/>
  <c r="T3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Kennedy 2</author>
    <author>Robbie Kennedy</author>
  </authors>
  <commentList>
    <comment ref="K1" authorId="0" shapeId="0" xr:uid="{5A1486B4-371A-444C-8718-F4B37F414F96}">
      <text>
        <r>
          <rPr>
            <b/>
            <sz val="9"/>
            <color indexed="81"/>
            <rFont val="Tahoma"/>
            <family val="2"/>
          </rPr>
          <t>Robert Kennedy 2:</t>
        </r>
        <r>
          <rPr>
            <sz val="9"/>
            <color indexed="81"/>
            <rFont val="Tahoma"/>
            <family val="2"/>
          </rPr>
          <t xml:space="preserve">
On compass search form group and export all students as a CSV. </t>
        </r>
      </text>
    </comment>
    <comment ref="A3" authorId="0" shapeId="0" xr:uid="{88C6A5A4-9690-45DA-8671-A376136735C2}">
      <text>
        <r>
          <rPr>
            <b/>
            <sz val="9"/>
            <color indexed="81"/>
            <rFont val="Tahoma"/>
            <family val="2"/>
          </rPr>
          <t>Robert Kennedy 2:</t>
        </r>
        <r>
          <rPr>
            <sz val="9"/>
            <color indexed="81"/>
            <rFont val="Tahoma"/>
            <family val="2"/>
          </rPr>
          <t xml:space="preserve">
Pathway to your selected class file</t>
        </r>
      </text>
    </comment>
    <comment ref="B4" authorId="0" shapeId="0" xr:uid="{83AE171A-C6EA-4D1E-B0B2-448B0DA3D964}">
      <text>
        <r>
          <rPr>
            <b/>
            <sz val="9"/>
            <color indexed="81"/>
            <rFont val="Tahoma"/>
            <family val="2"/>
          </rPr>
          <t>Robert Kennedy 2:</t>
        </r>
        <r>
          <rPr>
            <sz val="9"/>
            <color indexed="81"/>
            <rFont val="Tahoma"/>
            <family val="2"/>
          </rPr>
          <t xml:space="preserve">
Only used in ASTS 2+3. For students not defined by M or F you can change manually</t>
        </r>
      </text>
    </comment>
    <comment ref="C4" authorId="0" shapeId="0" xr:uid="{57A4B426-FFDC-4F6C-92F9-CAE621C14749}">
      <text>
        <r>
          <rPr>
            <b/>
            <sz val="9"/>
            <color indexed="81"/>
            <rFont val="Tahoma"/>
            <family val="2"/>
          </rPr>
          <t>Robert Kennedy 2:</t>
        </r>
        <r>
          <rPr>
            <sz val="9"/>
            <color indexed="81"/>
            <rFont val="Tahoma"/>
            <family val="2"/>
          </rPr>
          <t xml:space="preserve">
Approximated to student year level. It is easier for reporting to assume all students are turning the correct age that year. You can change manually if needed.</t>
        </r>
      </text>
    </comment>
    <comment ref="O4" authorId="0" shapeId="0" xr:uid="{08B99BC9-D040-4961-AD7C-ED4E1348F16F}">
      <text>
        <r>
          <rPr>
            <b/>
            <sz val="9"/>
            <color indexed="81"/>
            <rFont val="Tahoma"/>
            <family val="2"/>
          </rPr>
          <t>Robert Kennedy 2:</t>
        </r>
        <r>
          <rPr>
            <sz val="9"/>
            <color indexed="81"/>
            <rFont val="Tahoma"/>
            <family val="2"/>
          </rPr>
          <t xml:space="preserve">
Combined grade of all FMS (Blue/Light Blue)
</t>
        </r>
      </text>
    </comment>
    <comment ref="P4" authorId="0" shapeId="0" xr:uid="{7C489AF5-16B0-4713-B1AB-4A773F4B5CCE}">
      <text>
        <r>
          <rPr>
            <b/>
            <sz val="9"/>
            <color indexed="81"/>
            <rFont val="Tahoma"/>
            <family val="2"/>
          </rPr>
          <t>Robert Kennedy 2:</t>
        </r>
        <r>
          <rPr>
            <sz val="9"/>
            <color indexed="81"/>
            <rFont val="Tahoma"/>
            <family val="2"/>
          </rPr>
          <t xml:space="preserve">
Combined grade of only Locomotor (Blue)
</t>
        </r>
      </text>
    </comment>
    <comment ref="Q4" authorId="0" shapeId="0" xr:uid="{041D632E-CBBA-4F91-B802-F1E07E645C17}">
      <text>
        <r>
          <rPr>
            <b/>
            <sz val="9"/>
            <color indexed="81"/>
            <rFont val="Tahoma"/>
            <family val="2"/>
          </rPr>
          <t>Robert Kennedy 2:</t>
        </r>
        <r>
          <rPr>
            <sz val="9"/>
            <color indexed="81"/>
            <rFont val="Tahoma"/>
            <family val="2"/>
          </rPr>
          <t xml:space="preserve">
Combined grade of only Object Control (Light blue)</t>
        </r>
      </text>
    </comment>
    <comment ref="S4" authorId="0" shapeId="0" xr:uid="{C745915F-CE13-4415-80EA-3536AF1007A7}">
      <text>
        <r>
          <rPr>
            <b/>
            <sz val="9"/>
            <color indexed="81"/>
            <rFont val="Tahoma"/>
            <family val="2"/>
          </rPr>
          <t>Robert Kennedy 2:</t>
        </r>
        <r>
          <rPr>
            <sz val="9"/>
            <color indexed="81"/>
            <rFont val="Tahoma"/>
            <family val="2"/>
          </rPr>
          <t xml:space="preserve">
ASTS includes an additional normative score of 'at level'. For ease of reporting I have coloured this the same as 'Achieving'</t>
        </r>
      </text>
    </comment>
    <comment ref="T4" authorId="0" shapeId="0" xr:uid="{6A723E73-B08F-489D-8D4C-5377AE751345}">
      <text>
        <r>
          <rPr>
            <b/>
            <sz val="9"/>
            <color indexed="81"/>
            <rFont val="Tahoma"/>
            <family val="2"/>
          </rPr>
          <t>Robert Kennedy 2:</t>
        </r>
        <r>
          <rPr>
            <sz val="9"/>
            <color indexed="81"/>
            <rFont val="Tahoma"/>
            <family val="2"/>
          </rPr>
          <t xml:space="preserve">
Most common score for Sequencing (Purple). Defaults to gymnastics score if no common score
</t>
        </r>
      </text>
    </comment>
    <comment ref="D35" authorId="1" shapeId="0" xr:uid="{0E84C743-CDF7-4780-B5A5-129F251E8A80}">
      <text>
        <r>
          <rPr>
            <b/>
            <sz val="9"/>
            <color indexed="81"/>
            <rFont val="Tahoma"/>
            <family val="2"/>
          </rPr>
          <t>Robbie Kennedy:</t>
        </r>
        <r>
          <rPr>
            <sz val="9"/>
            <color indexed="81"/>
            <rFont val="Tahoma"/>
            <family val="2"/>
          </rPr>
          <t xml:space="preserve">
Grade Summary columns and Class Skill Summary rows only check for the most common response. If a student has 3/7 Excelling, but 2/7 Beginning and 2/7 Progrssing you might not grade this student as Excelling.</t>
        </r>
      </text>
    </comment>
    <comment ref="R35" authorId="1" shapeId="0" xr:uid="{B348BF85-D941-4F50-AC6D-5347EB85F3B7}">
      <text>
        <r>
          <rPr>
            <b/>
            <sz val="9"/>
            <color indexed="81"/>
            <rFont val="Tahoma"/>
            <family val="2"/>
          </rPr>
          <t>Robbie Kennedy:</t>
        </r>
        <r>
          <rPr>
            <sz val="9"/>
            <color indexed="81"/>
            <rFont val="Tahoma"/>
            <family val="2"/>
          </rPr>
          <t xml:space="preserve">
Grade Summary columns and Class Skill Summary rows only check for the most common response. If a student has 3/7 Excelling, but 2/7 Beginning and 2/7 Progrssing you might not grade this student as Excelling.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0969DFF-4257-4B83-9A9D-D3A21EAA67DD}">
      <text>
        <r>
          <rPr>
            <sz val="10"/>
            <color rgb="FF000000"/>
            <rFont val="Arial"/>
            <family val="2"/>
            <scheme val="minor"/>
          </rPr>
          <t>Age is important to determine the normative score (what is normal for the student's age). Once you have entered the student's age, the average time for that age will automatically appear in column D.</t>
        </r>
      </text>
    </comment>
    <comment ref="C4" authorId="0" shapeId="0" xr:uid="{8EE2CA18-DA71-4988-91AF-D4C1B3250019}">
      <text>
        <r>
          <rPr>
            <sz val="10"/>
            <color rgb="FF000000"/>
            <rFont val="Arial"/>
            <family val="2"/>
            <scheme val="minor"/>
          </rPr>
          <t>Enter the student's time in seconds (e.g. 27.6).
This is the time it took the student to complete the track.</t>
        </r>
      </text>
    </comment>
    <comment ref="D4" authorId="0" shapeId="0" xr:uid="{B736DF6A-D347-4AEC-A5F3-8298AFE0B4A5}">
      <text>
        <r>
          <rPr>
            <sz val="10"/>
            <color rgb="FF000000"/>
            <rFont val="Arial"/>
            <family val="2"/>
            <scheme val="minor"/>
          </rPr>
          <t xml:space="preserve">The average time score for the student's age. </t>
        </r>
      </text>
    </comment>
    <comment ref="E4" authorId="0" shapeId="0" xr:uid="{3594545A-9F56-4B41-B48E-05898D6C9CE8}">
      <text>
        <r>
          <rPr>
            <sz val="10"/>
            <color rgb="FF000000"/>
            <rFont val="Arial"/>
            <family val="2"/>
            <scheme val="minor"/>
          </rPr>
          <t xml:space="preserve">The average time score divided by the student's time score, multiplied by 100. This score is used to determine if the student is in the 'normal' range for their age. </t>
        </r>
      </text>
    </comment>
    <comment ref="F4" authorId="0" shapeId="0" xr:uid="{FDF2392A-7914-4C8E-8DE3-389F699B2425}">
      <text>
        <r>
          <rPr>
            <sz val="10"/>
            <color rgb="FF000000"/>
            <rFont val="Arial"/>
            <family val="2"/>
            <scheme val="minor"/>
          </rPr>
          <t xml:space="preserve">This is the normative score if the student is 6 years old. If they are not 6 years old, ignore this score and graph. </t>
        </r>
      </text>
    </comment>
    <comment ref="G4" authorId="0" shapeId="0" xr:uid="{7149FC7B-F0D3-4DCE-B130-5CA3A2B03A48}">
      <text>
        <r>
          <rPr>
            <sz val="10"/>
            <color rgb="FF000000"/>
            <rFont val="Arial"/>
            <family val="2"/>
            <scheme val="minor"/>
          </rPr>
          <t xml:space="preserve">This is the normative score if the student is 7 years old. If they are not 7 years old, ignore this score and graph. </t>
        </r>
      </text>
    </comment>
    <comment ref="H4" authorId="0" shapeId="0" xr:uid="{6C3E062D-1957-4C8A-8088-A9F28B78970A}">
      <text>
        <r>
          <rPr>
            <sz val="10"/>
            <color rgb="FF000000"/>
            <rFont val="Arial"/>
            <family val="2"/>
            <scheme val="minor"/>
          </rPr>
          <t xml:space="preserve">This is the normative score if the student is 8 years old. If they are not 8 years old, ignore this score and graph. </t>
        </r>
      </text>
    </comment>
    <comment ref="I4" authorId="0" shapeId="0" xr:uid="{FD39BFD9-532F-45BD-8E31-A3ABF4F38EB3}">
      <text>
        <r>
          <rPr>
            <sz val="10"/>
            <color rgb="FF000000"/>
            <rFont val="Arial"/>
            <family val="2"/>
            <scheme val="minor"/>
          </rPr>
          <t xml:space="preserve">This is the normative score if the student is 9 years old. If they are not 9 years old, ignore this score and graph. </t>
        </r>
      </text>
    </comment>
    <comment ref="K4" authorId="0" shapeId="0" xr:uid="{5C80976A-6835-433F-A3D3-C4AF88C58620}">
      <text>
        <r>
          <rPr>
            <sz val="10"/>
            <color rgb="FF000000"/>
            <rFont val="Arial"/>
            <family val="2"/>
            <scheme val="minor"/>
          </rPr>
          <t>Age is important to determine the normative score (what is normal for the student's age). Once you have entered the student's age, the average time for that age will automatically appear in column D.</t>
        </r>
      </text>
    </comment>
    <comment ref="L4" authorId="0" shapeId="0" xr:uid="{68BA239B-EF38-46A5-9D98-9FC5978AF60F}">
      <text>
        <r>
          <rPr>
            <sz val="10"/>
            <color rgb="FF000000"/>
            <rFont val="Arial"/>
            <family val="2"/>
            <scheme val="minor"/>
          </rPr>
          <t>Enter the student's time in seconds (e.g. 27.6).
This is the time it took the student to complete the track.</t>
        </r>
      </text>
    </comment>
    <comment ref="M4" authorId="0" shapeId="0" xr:uid="{47F05A6E-0345-47F7-B519-1E140D66CC7D}">
      <text>
        <r>
          <rPr>
            <sz val="10"/>
            <color rgb="FF000000"/>
            <rFont val="Arial"/>
            <family val="2"/>
            <scheme val="minor"/>
          </rPr>
          <t xml:space="preserve">The average time score for the student's age. </t>
        </r>
      </text>
    </comment>
    <comment ref="N4" authorId="0" shapeId="0" xr:uid="{CC775E8F-3A30-48AB-B691-4276F4D07883}">
      <text>
        <r>
          <rPr>
            <sz val="10"/>
            <color rgb="FF000000"/>
            <rFont val="Arial"/>
            <family val="2"/>
            <scheme val="minor"/>
          </rPr>
          <t xml:space="preserve">The average time score divided by the student's time score, multiplied by 100. This score is used to determine if the student is in the 'normal' range for their age. </t>
        </r>
      </text>
    </comment>
    <comment ref="O4" authorId="0" shapeId="0" xr:uid="{B661EBBB-7910-4E64-A6B5-8773C990E69D}">
      <text>
        <r>
          <rPr>
            <sz val="10"/>
            <color rgb="FF000000"/>
            <rFont val="Arial"/>
            <family val="2"/>
            <scheme val="minor"/>
          </rPr>
          <t xml:space="preserve">This is the normative score if the student is 9 years old. If they are not 9 years old, ignore this score and graph. </t>
        </r>
      </text>
    </comment>
    <comment ref="P4" authorId="0" shapeId="0" xr:uid="{E787E047-C51F-4925-954C-FE32EE6EFF46}">
      <text>
        <r>
          <rPr>
            <sz val="10"/>
            <color rgb="FF000000"/>
            <rFont val="Arial"/>
            <family val="2"/>
            <scheme val="minor"/>
          </rPr>
          <t xml:space="preserve">This is the normative score if the student is 10 years old. If they are not 10 years old, ignore this score and graph. </t>
        </r>
      </text>
    </comment>
    <comment ref="Q4" authorId="0" shapeId="0" xr:uid="{F9995C4B-4F98-4A58-B8A5-AC877FFA260E}">
      <text>
        <r>
          <rPr>
            <sz val="10"/>
            <color rgb="FF000000"/>
            <rFont val="Arial"/>
            <family val="2"/>
            <scheme val="minor"/>
          </rPr>
          <t xml:space="preserve">This is the normative score if the student is 11 years old. If they are not 11 years old, ignore this score and graph. </t>
        </r>
      </text>
    </comment>
    <comment ref="R4" authorId="0" shapeId="0" xr:uid="{1B55F2E3-014D-4597-AB56-30BAD189680F}">
      <text>
        <r>
          <rPr>
            <sz val="10"/>
            <color rgb="FF000000"/>
            <rFont val="Arial"/>
            <family val="2"/>
            <scheme val="minor"/>
          </rPr>
          <t xml:space="preserve">This is the normative score if the student is 12 years old. If they are not 12 years old, ignore this score and graph. </t>
        </r>
      </text>
    </comment>
    <comment ref="B27" authorId="0" shapeId="0" xr:uid="{E3D09217-5E93-4A89-AA8D-8D54EFA1D608}">
      <text>
        <r>
          <rPr>
            <sz val="10"/>
            <color rgb="FF000000"/>
            <rFont val="Arial"/>
            <family val="2"/>
            <scheme val="minor"/>
          </rPr>
          <t>Age is important to determine the normative score (what is normal for the student's age). Once you have entered the student's age, the average time for that age will automatically appear in column D.</t>
        </r>
      </text>
    </comment>
    <comment ref="C27" authorId="0" shapeId="0" xr:uid="{570E3D68-1AF3-44D0-9481-29D231EBC228}">
      <text>
        <r>
          <rPr>
            <sz val="10"/>
            <color rgb="FF000000"/>
            <rFont val="Arial"/>
            <family val="2"/>
            <scheme val="minor"/>
          </rPr>
          <t>Enter the student's time in seconds (e.g. 27.6).
This is the time it took the student to complete the track.</t>
        </r>
      </text>
    </comment>
    <comment ref="D27" authorId="0" shapeId="0" xr:uid="{CA0A5B67-0087-4E68-8A90-74FA9BE44999}">
      <text>
        <r>
          <rPr>
            <sz val="10"/>
            <color rgb="FF000000"/>
            <rFont val="Arial"/>
            <family val="2"/>
            <scheme val="minor"/>
          </rPr>
          <t xml:space="preserve">The average time score for the student's age. </t>
        </r>
      </text>
    </comment>
    <comment ref="E27" authorId="0" shapeId="0" xr:uid="{6B1C8EBB-D7FB-4355-B97F-705C08BC73CF}">
      <text>
        <r>
          <rPr>
            <sz val="10"/>
            <color rgb="FF000000"/>
            <rFont val="Arial"/>
            <family val="2"/>
            <scheme val="minor"/>
          </rPr>
          <t xml:space="preserve">The average time score divided by the student's time score, multiplied by 100. This score is used to determine if the student is in the 'normal' range for their age. </t>
        </r>
      </text>
    </comment>
    <comment ref="F27" authorId="0" shapeId="0" xr:uid="{CEE9035E-0565-4B17-BB18-B759F4ADE578}">
      <text>
        <r>
          <rPr>
            <sz val="10"/>
            <color rgb="FF000000"/>
            <rFont val="Arial"/>
            <family val="2"/>
            <scheme val="minor"/>
          </rPr>
          <t xml:space="preserve">This is the normative score if the student is 6 years old. If they are not 6 years old, ignore this score and graph. </t>
        </r>
      </text>
    </comment>
    <comment ref="G27" authorId="0" shapeId="0" xr:uid="{1E8EB8C1-2B65-45FB-B76F-81ED22A51A28}">
      <text>
        <r>
          <rPr>
            <sz val="10"/>
            <color rgb="FF000000"/>
            <rFont val="Arial"/>
            <family val="2"/>
            <scheme val="minor"/>
          </rPr>
          <t xml:space="preserve">This is the normative score if the student is 7 years old. If they are not 7 years old, ignore this score and graph. </t>
        </r>
      </text>
    </comment>
    <comment ref="H27" authorId="0" shapeId="0" xr:uid="{EFFA91D5-343B-49D5-929B-9EA78DB3FCC4}">
      <text>
        <r>
          <rPr>
            <sz val="10"/>
            <color rgb="FF000000"/>
            <rFont val="Arial"/>
            <family val="2"/>
            <scheme val="minor"/>
          </rPr>
          <t xml:space="preserve">This is the normative score if the student is 8 years old. If they are not 8 years old, ignore this score and graph. </t>
        </r>
      </text>
    </comment>
    <comment ref="I27" authorId="0" shapeId="0" xr:uid="{58D0C552-B922-48D6-A824-5B34422559F1}">
      <text>
        <r>
          <rPr>
            <sz val="10"/>
            <color rgb="FF000000"/>
            <rFont val="Arial"/>
            <family val="2"/>
            <scheme val="minor"/>
          </rPr>
          <t xml:space="preserve">This is the normative score if the student is 9 years old. If they are not 9 years old, ignore this score and graph. </t>
        </r>
      </text>
    </comment>
    <comment ref="K27" authorId="0" shapeId="0" xr:uid="{7F3BA967-61D7-4929-A30F-F7BDC6B7C203}">
      <text>
        <r>
          <rPr>
            <sz val="10"/>
            <color rgb="FF000000"/>
            <rFont val="Arial"/>
            <family val="2"/>
            <scheme val="minor"/>
          </rPr>
          <t>Age is important to determine the normative score (what is normal for the student's age). Once you have entered the student's age, the average time for that age will automatically appear in column D.</t>
        </r>
      </text>
    </comment>
    <comment ref="L27" authorId="0" shapeId="0" xr:uid="{5046C2A2-C9D4-45BB-A739-144EAF2562E1}">
      <text>
        <r>
          <rPr>
            <sz val="10"/>
            <color rgb="FF000000"/>
            <rFont val="Arial"/>
            <family val="2"/>
            <scheme val="minor"/>
          </rPr>
          <t>Enter the student's time in seconds (e.g. 27.6).
This is the time it took the student to complete the track.</t>
        </r>
      </text>
    </comment>
    <comment ref="M27" authorId="0" shapeId="0" xr:uid="{BCA15E3C-AF22-45F2-844E-3CD807893452}">
      <text>
        <r>
          <rPr>
            <sz val="10"/>
            <color rgb="FF000000"/>
            <rFont val="Arial"/>
            <family val="2"/>
            <scheme val="minor"/>
          </rPr>
          <t xml:space="preserve">The average time score for the student's age. </t>
        </r>
      </text>
    </comment>
    <comment ref="N27" authorId="0" shapeId="0" xr:uid="{418628A7-5339-4CEC-BF32-571129AE2846}">
      <text>
        <r>
          <rPr>
            <sz val="10"/>
            <color rgb="FF000000"/>
            <rFont val="Arial"/>
            <family val="2"/>
            <scheme val="minor"/>
          </rPr>
          <t xml:space="preserve">The average time score divided by the student's time score, multiplied by 100. This score is used to determine if the student is in the 'normal' range for their age. </t>
        </r>
      </text>
    </comment>
    <comment ref="O27" authorId="0" shapeId="0" xr:uid="{1561DFA2-3ED2-4FF8-8CA6-D5299C52EDE4}">
      <text>
        <r>
          <rPr>
            <sz val="10"/>
            <color rgb="FF000000"/>
            <rFont val="Arial"/>
            <family val="2"/>
            <scheme val="minor"/>
          </rPr>
          <t xml:space="preserve">This is the normative score if the student is 9 years old. If they are not 9 years old, ignore this score and graph. </t>
        </r>
      </text>
    </comment>
    <comment ref="P27" authorId="0" shapeId="0" xr:uid="{6CE8C726-AAB4-47C6-8068-C85BF20142C6}">
      <text>
        <r>
          <rPr>
            <sz val="10"/>
            <color rgb="FF000000"/>
            <rFont val="Arial"/>
            <family val="2"/>
            <scheme val="minor"/>
          </rPr>
          <t xml:space="preserve">This is the normative score if the student is 10 years old. If they are not 10 years old, ignore this score and graph. </t>
        </r>
      </text>
    </comment>
    <comment ref="Q27" authorId="0" shapeId="0" xr:uid="{FBEAD27A-F0F8-4DCC-81F7-9C42F651EB43}">
      <text>
        <r>
          <rPr>
            <sz val="10"/>
            <color rgb="FF000000"/>
            <rFont val="Arial"/>
            <family val="2"/>
            <scheme val="minor"/>
          </rPr>
          <t xml:space="preserve">This is the normative score if the student is 11 years old. If they are not 11 years old, ignore this score and graph. </t>
        </r>
      </text>
    </comment>
    <comment ref="R27" authorId="0" shapeId="0" xr:uid="{23FA530F-247D-458A-9225-19FF728AE10E}">
      <text>
        <r>
          <rPr>
            <sz val="10"/>
            <color rgb="FF000000"/>
            <rFont val="Arial"/>
            <family val="2"/>
            <scheme val="minor"/>
          </rPr>
          <t xml:space="preserve">This is the normative score if the student is 12 years old. If they are not 12 years old, ignore this score and graph.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BA12596-57DB-4C01-AD98-65D1E2586F27}" keepAlive="1" name="Query - StudentFormGroup" description="Connection to the 'StudentFormGroup' query in the workbook." type="5" refreshedVersion="8" background="1" saveData="1">
    <dbPr connection="Provider=Microsoft.Mashup.OleDb.1;Data Source=$Workbook$;Location=StudentFormGroup;Extended Properties=&quot;&quot;" command="SELECT * FROM [StudentFormGroup]"/>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<sst xmlns="http://schemas.openxmlformats.org/spreadsheetml/2006/main" count="795" uniqueCount="269">
  <si>
    <t>Instructions</t>
  </si>
  <si>
    <t xml:space="preserve">Please send any feedback, suggestions or bugs to this Google survey 
https://forms.gle/E27JKz9asjfuq78NA </t>
  </si>
  <si>
    <t>Change Log</t>
  </si>
  <si>
    <t>Class List Summary Data</t>
  </si>
  <si>
    <t>Name</t>
  </si>
  <si>
    <t>Age</t>
  </si>
  <si>
    <t>Run</t>
  </si>
  <si>
    <t>Vertical Jump</t>
  </si>
  <si>
    <t>Leap</t>
  </si>
  <si>
    <t>Dodge</t>
  </si>
  <si>
    <t>Catch</t>
  </si>
  <si>
    <t>Overhand Throw</t>
  </si>
  <si>
    <t>Kick</t>
  </si>
  <si>
    <t>Punt</t>
  </si>
  <si>
    <t>Bounce</t>
  </si>
  <si>
    <t>Two Handed Strike</t>
  </si>
  <si>
    <t>Forehand Strike</t>
  </si>
  <si>
    <t>Total FMS Grade</t>
  </si>
  <si>
    <t>Locomotor Grade</t>
  </si>
  <si>
    <t>Obj. Control Grade</t>
  </si>
  <si>
    <t>Class analysis</t>
  </si>
  <si>
    <t>Student objective: To run as fast as possible along a straight line.</t>
  </si>
  <si>
    <t>Preparation: Measure a 30m flat, straight area with run-off space at each end, such as a basketball court sideline, with a cone to mark each end of the assessment area.</t>
  </si>
  <si>
    <t>Procedure: The student runs as fast as they can from the start cone until they have gone past the other cone, turns and then runs back to the start. The student performs one practice trial and 2 scored trials.</t>
  </si>
  <si>
    <t>Class/Year level:</t>
  </si>
  <si>
    <t>Student name</t>
  </si>
  <si>
    <t>1. Eyes focused forward throughout the run</t>
  </si>
  <si>
    <t>2. Knees bend at right angles during the recovery phase</t>
  </si>
  <si>
    <t>3. Arms bend at elbows and move in opposition to legs</t>
  </si>
  <si>
    <t>4. Contact ground with front part of foot</t>
  </si>
  <si>
    <t>5. Body leans slightly forward</t>
  </si>
  <si>
    <t>Score /5</t>
  </si>
  <si>
    <t>Norm</t>
  </si>
  <si>
    <t>Expected age to achieve</t>
  </si>
  <si>
    <t>Totals</t>
  </si>
  <si>
    <t>Normative scores</t>
  </si>
  <si>
    <t>VIDEO LINK</t>
  </si>
  <si>
    <t xml:space="preserve">Beginning </t>
  </si>
  <si>
    <t>Progressing</t>
  </si>
  <si>
    <t>Achieving</t>
  </si>
  <si>
    <t>Excelling</t>
  </si>
  <si>
    <t>TOTALS</t>
  </si>
  <si>
    <t>Beginning</t>
  </si>
  <si>
    <t xml:space="preserve">Achieving </t>
  </si>
  <si>
    <t>Select</t>
  </si>
  <si>
    <t>Source: Fundamental Motor Skills A manual for classroom teachers State of Victoria (Department of Education and Training CC BY 4.0</t>
  </si>
  <si>
    <t>Vertical jump</t>
  </si>
  <si>
    <t>Student objective: To jump vertically as high as possible from a standing position.</t>
  </si>
  <si>
    <t>Preparation: Mark a cross on a flat non-slip surface. Have a recording sheet or video camera ready.</t>
  </si>
  <si>
    <t>Procedure: The student jumps as high as they can, with a pause between each jump. The student performs one practice trial and 2 scored trials.</t>
  </si>
  <si>
    <t>1. Eyes focused forwards or upwards throughout the jump</t>
  </si>
  <si>
    <t>2. Crouch with knees bent and arms behind body</t>
  </si>
  <si>
    <t>3. Forceful upward thrust of arms as legs straighten to take off</t>
  </si>
  <si>
    <t>4. Contact ground with front part of feet and bend knees to absorb force of landing</t>
  </si>
  <si>
    <t>5. Balanced landing with no more than one step in any direction</t>
  </si>
  <si>
    <t>Student objective: To leap as far as possible.</t>
  </si>
  <si>
    <t>Preparation: On a flat, non-slip surface, mark a 1m x 1m take-off square using a cone to denote each corner. Place another cone 3m back from the take-off square to mark the starting point.</t>
  </si>
  <si>
    <t xml:space="preserve">Procedure: The student begins at the starting point, runs towards the take-off square and leaps as far as they can from within the square. The student performs one practice trial and 2 scored trials. </t>
  </si>
  <si>
    <t>1. Forward movement sustained throughout the leap</t>
  </si>
  <si>
    <t>2. Eyes focused forward throughout the leap</t>
  </si>
  <si>
    <t>3. Take off from one foot and land on the opposite foot</t>
  </si>
  <si>
    <t>4. During flight legs are straightened with the arms held in opposition to legs</t>
  </si>
  <si>
    <t>5. Controlled landing without losing balance</t>
  </si>
  <si>
    <t>Student objective: To move quickly through a series of cones each placed 3m apart in a zig-zag formation.</t>
  </si>
  <si>
    <t>Preparation: Prepare a flat, non-slip surface of approximately 15m x 4m, with 9 cones placed in a zig-zag formation 3m apart and lines to mark the path between each cone.</t>
  </si>
  <si>
    <t>Procedure: The student runs from one cone to the next, following the lines marked. At each of the cones, the student should dodge as fast as possible to change direction towards the next cone. The student performs one practice trial and 2 scored trials.</t>
  </si>
  <si>
    <t>1. Eyes focused in direction of travel throughout the dodge</t>
  </si>
  <si>
    <t>2. Change direction by pushing off outside foot</t>
  </si>
  <si>
    <t>3. Body lowered during change of direction</t>
  </si>
  <si>
    <t>4. Change of direction occurs in one step</t>
  </si>
  <si>
    <t>5. Dodge repeated from right to left, left to right, and so on</t>
  </si>
  <si>
    <t>Student objective: To catch a tennis ball thrown underarm from an age-appropriate distance: 5m (5–7 years), 10m (8–10 years) or 15m (11–12 years)</t>
  </si>
  <si>
    <t>Preparation: Measure a 2m x 2m catching square with cones placed at each corner. Place a mark on the back line to denote the starting position for the catcher. Place a marker or a line for the thrower to stand on (at the age-appropriate distance from the square). Have a bucket with 3 tennis balls near the thrower.</t>
  </si>
  <si>
    <t>Procedure: The student being assessed stands in the middle of the square and catches a ball tossed to them from an age-appropriate distance. The thrower performs an underarm throw with a slight arc, aiming for the student’s chest (the ball needs to reach the student between the shoulders and waist). The student performs one practice trial and 2 scored trials. One or 2 students can stand behind the catching square to collect any missed balls.</t>
  </si>
  <si>
    <t>1. Eyes are focused on the ball throughout the catch</t>
  </si>
  <si>
    <t>2. Preparatory position with elbows bent and hands in front of body</t>
  </si>
  <si>
    <t>3. Hands move to meet the ball</t>
  </si>
  <si>
    <t>4. Hands and fingers positioned correctly to catch the ball</t>
  </si>
  <si>
    <t>5. Catch and control the ball with hands only</t>
  </si>
  <si>
    <t>6. Elbows bend to absorb force of the ball</t>
  </si>
  <si>
    <t>Score /6</t>
  </si>
  <si>
    <t>Overhand throw</t>
  </si>
  <si>
    <t>Student objective: To throw a bean bag or tennis ball towards a target 10m away</t>
  </si>
  <si>
    <t>Preparation: Measure a 2m x 2m square with cones placed at each corner. Place a mark on the back line to denote the starting position for the thrower. Place a hoop or marker on a fence 10m away. Place at least 3 beanbags or tennis balls next to the starting position.</t>
  </si>
  <si>
    <t>Procedure: The student throws the tennis ball or bean bag hard, overhand, towards the target. At the completion of the assessment, the student should collect the bean bags or balls and return them to the throwing line. The student performs one practice trial and 2 scored trials.</t>
  </si>
  <si>
    <t>1. Eyes are focused on the target throughout the throw</t>
  </si>
  <si>
    <t xml:space="preserve">2. Stands side-on to the target </t>
  </si>
  <si>
    <t>3. Throwing arm nearly straightened behind the body</t>
  </si>
  <si>
    <t>4. Step towards the target with foot opposite throwing arm during the throw</t>
  </si>
  <si>
    <t>5. Marked sequential hip to shoulder rotation during the throw</t>
  </si>
  <si>
    <t>6. Throwing arm follows through down and across the body</t>
  </si>
  <si>
    <t>Student objective: To kick a stationary ball hard, towards a target 10m away</t>
  </si>
  <si>
    <t xml:space="preserve">Preparation: Mark a flat non-slip surface to show the placement of each ball before it is kicked. Mark a line 3m back from the ball as a starting point for the student. Make sure the area allows for easy return of the kicked balls for the next student. </t>
  </si>
  <si>
    <t>Procedure: Place a ball on the spot marked (a bean bag may be used to prevent the ball rolling away). The student runs up to the ball and kicks it hard towards a target 10m away. The student returns to the starting line between each kick. The student performs one practice trial and 2 scored trials. One or 2 students can stand 10m in front of the kicker to retrieve any balls kicked towards them.</t>
  </si>
  <si>
    <t>1. Eyes are focused on the ball throughout the kick</t>
  </si>
  <si>
    <t>2. Step forward with non-kicking foot placed near the ball</t>
  </si>
  <si>
    <t>3. Bend knee of kicking leg during the backswing for the kick</t>
  </si>
  <si>
    <t>4. Hip extension and knee flexion of at least 90º during preliminary kicking movement</t>
  </si>
  <si>
    <t>5. Contact the ball with the top of the foot</t>
  </si>
  <si>
    <t>6. Forward and sideward swing of arm opposite kicking leg</t>
  </si>
  <si>
    <t>7. Kicking leg follows through towards the target after ball contact</t>
  </si>
  <si>
    <t>Score /7</t>
  </si>
  <si>
    <t>Student objective: To punt a 20 centimetre playground ball towards a target 10–20 metres away.</t>
  </si>
  <si>
    <t xml:space="preserve">Preparation: Measure out a 2m x 2m square, with cones to show each corner. Place a mark on the back line of the square to show the starting position, with the balls in a container nearby. Place a cone 10–20m away from the starting position to act as the target. </t>
  </si>
  <si>
    <t>Procedure: The student collects a ball from the container and punts it forwards as far as possible. The student performs one practice trial and 2 scored trials. One or two students can stand 10–20m away to collect the kicked balls and return them to the container after each student is assessed.</t>
  </si>
  <si>
    <t>1. Eyes are focused on the ball throughout the punt</t>
  </si>
  <si>
    <t>2. Ball held at about hip height in front of punting</t>
  </si>
  <si>
    <t>3. Step forward onto non-punting foot</t>
  </si>
  <si>
    <t xml:space="preserve">4. Bend knee of kicking leg during the backswing for the punt </t>
  </si>
  <si>
    <t>5. Hip extension and knee flexion of at least 90º during preliminary punting movement</t>
  </si>
  <si>
    <t>6. Guide ball down, with one hand, so it makes contact with the top of the foot</t>
  </si>
  <si>
    <t>7. Forward and sideward swing of arm opposite punting leg</t>
  </si>
  <si>
    <t>8. Punting leg follows through towards the target after ball contact</t>
  </si>
  <si>
    <t>Score /8</t>
  </si>
  <si>
    <t>Student objective: To bounce a regulation basketball (or a 20cm playground ball) at least 5 consecutive times when in a stationary position</t>
  </si>
  <si>
    <t xml:space="preserve">Preparation: Mark the flat, hard surface. Place the basketball next to the mark. </t>
  </si>
  <si>
    <t>Procedure: The student stands on the mark with the ball. On the command ‘GO’ the student starts bouncing the ball with their preferred hand and keeps bouncing until given the command ‘STOP’. Each student should perform 5 bounces. The student performs one practice trial and 2 scored trials.</t>
  </si>
  <si>
    <t>1. Eyes focused forward throughout the bounce</t>
  </si>
  <si>
    <t>2. Contact the ball with the fingers of one hand at about hip height</t>
  </si>
  <si>
    <t>3. Wrist and elbows bend then straighten to push the ball</t>
  </si>
  <si>
    <t>4. Hips and knees slightly flexed during the bounce</t>
  </si>
  <si>
    <t>5. Ball bounces in front of and to the side of the body</t>
  </si>
  <si>
    <t>Two-handed side-arm strike</t>
  </si>
  <si>
    <t>Student objective: To strike a ball thrown from 5–10m away with a foam softball bat in a forward direction.</t>
  </si>
  <si>
    <t xml:space="preserve">Preparation: Measure out a 2m x 2m square, with cones to show each corner. Place a mark on the back line of the square to show the starting position for the student being assessed. Students must start at this point but may move anywhere within the square to strike the ball. Use a cone to mark a spot 5–10m from the centre of the square from which the thrower stands to toss a ball to be struck by the student. </t>
  </si>
  <si>
    <t xml:space="preserve">Procedure: Another student throws the ball using an underarm throw towards the student from 5–10m away. Only count throws that go past the student at a height between the student’s shoulders and knees. The student must strike the ball past the thrower. The student performs one practice trial and 2 scored trials. The student should return to the starting position after each strike. </t>
  </si>
  <si>
    <t>1. Eyes are focused on the ball throughout the strike</t>
  </si>
  <si>
    <t>2. Preferred hand grips bat above non-preferred hand</t>
  </si>
  <si>
    <t>3. Stands side-on to the target</t>
  </si>
  <si>
    <t>4. Bat held behind shoulder prior to the strike</t>
  </si>
  <si>
    <t>5. Step towards target with foot opposite preferred hand during the strike</t>
  </si>
  <si>
    <t>6. Marked sequential hip to shoulder rotation during the strike</t>
  </si>
  <si>
    <t>7. Ball contact made opposite front foot with straight arms</t>
  </si>
  <si>
    <t>8. Follow through with bat around body</t>
  </si>
  <si>
    <t>7</t>
  </si>
  <si>
    <t>Forehand strike</t>
  </si>
  <si>
    <t>Student objective: To strike a tennis ball thrown to bounce to waist height from 5–10m away, using a short-handled racquet in one hand, in a forward direction.</t>
  </si>
  <si>
    <t xml:space="preserve">Preparation: Measure out a 2m x 2m square, with cones to show each corner. Place a mark on the back line of the square to show the starting position of the student being assessed. Students must start at this point but may move anywhere within the square to strike the ball. Use a cone to mark a spot 5–10m from the centre of the square from which to toss a ball to bounce and be struck by the student. </t>
  </si>
  <si>
    <t>Procedure: The thrower stands to face the student 5–10m away. The student stands at the starting position, ready to strike the ball. The thrower performs an underarm throw so that the ball bounces once at waist height before it reaches the student. The student moves to the ball and strikes it so that it travels on the full past the thrower. The student returns to the starting position after each strike. The student performs one practice trial and 2 scored trials. The thrower should allow a pause between each forehand strike. One or 2 students can stand 5–10 m behind the thrower to collect any balls hit.</t>
  </si>
  <si>
    <t>2. Stand side-on to the target with bat held in one hand</t>
  </si>
  <si>
    <t>3. Striking hand nearly straightened behind shoulder at end of backswing</t>
  </si>
  <si>
    <t>4. Step towards target with foot opposite striking arm during the strike</t>
  </si>
  <si>
    <t>5. Marked sequential hip to shoulder rotation during the strike</t>
  </si>
  <si>
    <t>6. Ball contact made opposite front foot with straight arm</t>
  </si>
  <si>
    <t>7. Follow through towards the target then around body</t>
  </si>
  <si>
    <t>Normative Score Working Table</t>
  </si>
  <si>
    <t>USER INPUT REQUIRED - Copy ages from Normative Score table above into this table here</t>
  </si>
  <si>
    <t>&lt; 2</t>
  </si>
  <si>
    <t>&gt; 4</t>
  </si>
  <si>
    <t>Gymnastics (Sequencing)</t>
  </si>
  <si>
    <t>Student objective: To sequence a gymnastics routine</t>
  </si>
  <si>
    <t>Preparation: 10x5m area that includes basic gymnastics equipment (mats, mushrooms, crash mat, balance beams)</t>
  </si>
  <si>
    <t>Procedure: Students have 4 weeks to plan, practice and perform a gymnastics floor routine, sequencing gymnastics elements together.</t>
  </si>
  <si>
    <t>1. Sequencing</t>
  </si>
  <si>
    <t>2. Creativity</t>
  </si>
  <si>
    <t>3. Execution</t>
  </si>
  <si>
    <t>4. Variety of Elements</t>
  </si>
  <si>
    <t>Score /20</t>
  </si>
  <si>
    <t>Progressing Min</t>
  </si>
  <si>
    <t>Progressing Max</t>
  </si>
  <si>
    <t>Achieving Min</t>
  </si>
  <si>
    <t>Achieving Max</t>
  </si>
  <si>
    <t>Balance</t>
  </si>
  <si>
    <t>Gymnastics</t>
  </si>
  <si>
    <t>Athletic Skills Track</t>
  </si>
  <si>
    <t>Rock to stand</t>
  </si>
  <si>
    <t>Student objective:</t>
  </si>
  <si>
    <t>From a standing position, sit into a tuck position, roll onto their back and return to a standing position</t>
  </si>
  <si>
    <t>Equipment and preparation:</t>
  </si>
  <si>
    <t>A flat open space; 1–2 safety mats, placed on the floor end-to-end. Student should start in the middle of the two mats.</t>
  </si>
  <si>
    <t>Procedure:</t>
  </si>
  <si>
    <t>Student tucks and rolls back onto the nape of the neck, rocks back twice and stands up again.</t>
  </si>
  <si>
    <r>
      <t xml:space="preserve">Attempt 1: </t>
    </r>
    <r>
      <rPr>
        <b/>
        <sz val="10"/>
        <rFont val="Arial"/>
        <family val="2"/>
      </rPr>
      <t>Enter a score of 1 for each skill component that you observe.</t>
    </r>
  </si>
  <si>
    <r>
      <t>Attempt 2:</t>
    </r>
    <r>
      <rPr>
        <b/>
        <sz val="10"/>
        <rFont val="Arial"/>
        <family val="2"/>
      </rPr>
      <t xml:space="preserve"> Enter a score of 1 for each skill component that you observe.</t>
    </r>
  </si>
  <si>
    <t>Maintains and holds seated tuck</t>
  </si>
  <si>
    <t>Rocks backward onto nape of neck</t>
  </si>
  <si>
    <t>Rocks back a second time</t>
  </si>
  <si>
    <t>Stands back up when returning to seated position</t>
  </si>
  <si>
    <t>Source: Rudd, J. R., Barnett, L. M., Butson, M. L., Farrow, D., Berry, J., &amp; Polman, R. C. J. (2015). ‘Fundamental Movement Skills Are More than Run, Throw and Catch: The Role of Stability Skills’. PLOS ONE, 10(10), e0140224. &lt;https://doi.org/10.1371/journal.pone.0140224&gt; CC BY 4.0</t>
  </si>
  <si>
    <t>Beginning Min</t>
  </si>
  <si>
    <t>Beginning Max</t>
  </si>
  <si>
    <t>Excelling Min</t>
  </si>
  <si>
    <t>Gender</t>
  </si>
  <si>
    <t>m</t>
  </si>
  <si>
    <t>f</t>
  </si>
  <si>
    <t>Sequencing Grade</t>
  </si>
  <si>
    <t>Source: Joris Hoeboer, The development of the Athletic Skills Track: A new motor competence assessment, (PhD Thesis, 2019; The Hague University of Applied Sciences and Amsterdam Movement Sciences Research Institute, VU Amsterdam; published via NCL) © Joris Hoeboer; with permission.</t>
  </si>
  <si>
    <t>At level</t>
  </si>
  <si>
    <t>If 12 Years Old</t>
  </si>
  <si>
    <t>If 11 Years Old</t>
  </si>
  <si>
    <t>If 10 Years Old</t>
  </si>
  <si>
    <t>If 9 Years Old</t>
  </si>
  <si>
    <t>If 9 years old</t>
  </si>
  <si>
    <t>If 8 years old</t>
  </si>
  <si>
    <t>If 7 years old</t>
  </si>
  <si>
    <t>If 6 years old</t>
  </si>
  <si>
    <t>Motor quotent score</t>
  </si>
  <si>
    <t>50th percentile for age</t>
  </si>
  <si>
    <t>Time to complete track (seconds)</t>
  </si>
  <si>
    <t>BOYS</t>
  </si>
  <si>
    <t>Motor quotient score</t>
  </si>
  <si>
    <t>GIRLS</t>
  </si>
  <si>
    <t>Suitable for 9–12-year-olds</t>
  </si>
  <si>
    <t>Suitable for 6–9-year-olds</t>
  </si>
  <si>
    <t>Athletic Skills Test 3</t>
  </si>
  <si>
    <t>Athletic Skills Test 2</t>
  </si>
  <si>
    <t>Normative value if 9 years old</t>
  </si>
  <si>
    <t>Normative value if 8 years old</t>
  </si>
  <si>
    <t>Normative value if 7 years old</t>
  </si>
  <si>
    <t>Normative value if 6 years old</t>
  </si>
  <si>
    <t>Normative value if 12 years old</t>
  </si>
  <si>
    <t>Normative value if 11 years old</t>
  </si>
  <si>
    <t>Normative value if 10 years old</t>
  </si>
  <si>
    <t>Student Name</t>
  </si>
  <si>
    <t>Column5</t>
  </si>
  <si>
    <t>Column7</t>
  </si>
  <si>
    <t>Column9</t>
  </si>
  <si>
    <t>Column10</t>
  </si>
  <si>
    <t/>
  </si>
  <si>
    <t>Find instructions here. 
Ensure you click on ASTS 2 or 3</t>
  </si>
  <si>
    <t>ID</t>
  </si>
  <si>
    <t>Maintains and holds seated tuck2</t>
  </si>
  <si>
    <t>Rocks backward onto nape of neck3</t>
  </si>
  <si>
    <t>Rocks back a second time4</t>
  </si>
  <si>
    <t>Stands back up when returning to seated position5</t>
  </si>
  <si>
    <t>Score/8</t>
  </si>
  <si>
    <t>Score using Rubric on Rubric sheet</t>
  </si>
  <si>
    <r>
      <t>Criteria</t>
    </r>
    <r>
      <rPr>
        <sz val="12"/>
        <rFont val="Aptos"/>
        <family val="2"/>
      </rPr>
      <t> </t>
    </r>
  </si>
  <si>
    <r>
      <t>Sequencing (sequencing)</t>
    </r>
    <r>
      <rPr>
        <sz val="12"/>
        <rFont val="Aptos"/>
        <family val="2"/>
      </rPr>
      <t> </t>
    </r>
  </si>
  <si>
    <t>Routine lacks sequence; elements are disorganized. </t>
  </si>
  <si>
    <t>Some elements are sequenced, but lacks fluidity. </t>
  </si>
  <si>
    <t>Routine shows a basic sequence with some flow. </t>
  </si>
  <si>
    <t>Good sequencing, elements connect well. </t>
  </si>
  <si>
    <t>Excellent sequencing, smooth and logical flow. </t>
  </si>
  <si>
    <r>
      <t>Variety of Elements (specialised skills)</t>
    </r>
    <r>
      <rPr>
        <sz val="12"/>
        <rFont val="Aptos"/>
        <family val="2"/>
      </rPr>
      <t> </t>
    </r>
  </si>
  <si>
    <t>Uses only one or two types of elements. </t>
  </si>
  <si>
    <t>Limited variety; routine includes a few different elements. </t>
  </si>
  <si>
    <t>Includes a range of elements, but lacks diversity. </t>
  </si>
  <si>
    <t>Good variety of elements with some complexity. </t>
  </si>
  <si>
    <t>Diverse elements used creatively, showcasing skills. </t>
  </si>
  <si>
    <r>
      <t>Execution (specialised skills)</t>
    </r>
    <r>
      <rPr>
        <sz val="12"/>
        <rFont val="Aptos"/>
        <family val="2"/>
      </rPr>
      <t> </t>
    </r>
  </si>
  <si>
    <t>Elements are poorly executed; lacks control. </t>
  </si>
  <si>
    <t>Execution is inconsistent; several mistakes made. </t>
  </si>
  <si>
    <t>Generally executed well with minor errors. </t>
  </si>
  <si>
    <t>Strong execution; most elements performed well. </t>
  </si>
  <si>
    <t>Flawless execution with high precision and control. </t>
  </si>
  <si>
    <r>
      <t>Creativity (sequencing)</t>
    </r>
    <r>
      <rPr>
        <sz val="12"/>
        <rFont val="Aptos"/>
        <family val="2"/>
      </rPr>
      <t> </t>
    </r>
  </si>
  <si>
    <t>Routine is unoriginal; lacks creativity. </t>
  </si>
  <si>
    <t>Some creative elements, but mostly standard. </t>
  </si>
  <si>
    <t>Shows creativity in some parts of the routine. </t>
  </si>
  <si>
    <t>Very creative; unique elements enhance the routine. </t>
  </si>
  <si>
    <t>Highly original and imaginative throughout. </t>
  </si>
  <si>
    <r>
      <t>0 - Needs Improvement</t>
    </r>
    <r>
      <rPr>
        <sz val="12"/>
        <rFont val="Aptos"/>
        <family val="2"/>
      </rPr>
      <t> </t>
    </r>
  </si>
  <si>
    <r>
      <t>1 - Fair</t>
    </r>
    <r>
      <rPr>
        <sz val="12"/>
        <rFont val="Aptos"/>
        <family val="2"/>
      </rPr>
      <t> </t>
    </r>
  </si>
  <si>
    <r>
      <t>2 - Good</t>
    </r>
    <r>
      <rPr>
        <sz val="12"/>
        <rFont val="Aptos"/>
        <family val="2"/>
      </rPr>
      <t> </t>
    </r>
  </si>
  <si>
    <r>
      <t>3 - Very Good</t>
    </r>
    <r>
      <rPr>
        <sz val="12"/>
        <rFont val="Aptos"/>
        <family val="2"/>
      </rPr>
      <t> </t>
    </r>
  </si>
  <si>
    <r>
      <t>4 - Excellent</t>
    </r>
    <r>
      <rPr>
        <sz val="12"/>
        <rFont val="Aptos"/>
        <family val="2"/>
      </rPr>
      <t> </t>
    </r>
  </si>
  <si>
    <t>Gymnastics Rubric</t>
  </si>
  <si>
    <t>Automated Class List and Age across sheets
Automated Normative Selection
Created Class Summary Table
Corrected Normative Tables (VCAA; how were these wrong in the first place??)
Added two sequencing trackers (Athletic Skills Track Scorecard + Gymnastics Sequencing) based on VCAA MAP scorecard
Added Balance tracker (Rock to stand) based on VCAA MAP scorecard
Added automated class input and refresher
Whole school summariser
Automated Year on Year Tracking</t>
  </si>
  <si>
    <t>Feedback
Bugs
Suggestions</t>
  </si>
  <si>
    <r>
      <rPr>
        <b/>
        <sz val="9"/>
        <color rgb="FF000000"/>
        <rFont val="Arial"/>
        <family val="2"/>
        <scheme val="minor"/>
      </rPr>
      <t>Create a copy of this document for each class
Load your Class</t>
    </r>
    <r>
      <rPr>
        <sz val="9"/>
        <color rgb="FF000000"/>
        <rFont val="Arial"/>
        <family val="2"/>
        <scheme val="minor"/>
      </rPr>
      <t xml:space="preserve">
• Click 'Select Class List' Button
• Select CSV with downloaded class from Compass
</t>
    </r>
    <r>
      <rPr>
        <b/>
        <sz val="9"/>
        <color rgb="FF000000"/>
        <rFont val="Arial"/>
        <family val="2"/>
        <scheme val="minor"/>
      </rPr>
      <t>If you do not have Compass, add classes manually</t>
    </r>
  </si>
  <si>
    <r>
      <t xml:space="preserve">This document is intended to streamline the process of recording and reporting student learning in Physical Education for the entire year, and each year afterwards.
</t>
    </r>
    <r>
      <rPr>
        <u/>
        <sz val="10"/>
        <color rgb="FF000000"/>
        <rFont val="Arial"/>
        <family val="2"/>
        <scheme val="minor"/>
      </rPr>
      <t>I am not associated with VCAA/DET</t>
    </r>
  </si>
  <si>
    <r>
      <rPr>
        <b/>
        <sz val="9"/>
        <color rgb="FF000000"/>
        <rFont val="Arial"/>
        <family val="2"/>
        <scheme val="minor"/>
      </rPr>
      <t>Test for Skills on each Sheet throughout year</t>
    </r>
    <r>
      <rPr>
        <sz val="9"/>
        <color rgb="FF000000"/>
        <rFont val="Arial"/>
        <family val="2"/>
        <scheme val="minor"/>
      </rPr>
      <t xml:space="preserve">
• 1 for evident 0 for not evident
• Normative score will calculate based on age
</t>
    </r>
    <r>
      <rPr>
        <b/>
        <i/>
        <sz val="9"/>
        <color rgb="FF000000"/>
        <rFont val="Arial"/>
        <family val="2"/>
        <scheme val="minor"/>
      </rPr>
      <t>(1 student and 1 FMS have been completed as an example)</t>
    </r>
  </si>
  <si>
    <r>
      <t xml:space="preserve">Import Previous Year Data
</t>
    </r>
    <r>
      <rPr>
        <sz val="9"/>
        <color rgb="FF000000"/>
        <rFont val="Arial"/>
        <family val="2"/>
        <scheme val="minor"/>
      </rPr>
      <t xml:space="preserve">(skip if this is first year)
• Click 'Import Prev. Year' button
• Type </t>
    </r>
    <r>
      <rPr>
        <b/>
        <sz val="9"/>
        <color rgb="FF000000"/>
        <rFont val="Arial"/>
        <family val="2"/>
        <scheme val="minor"/>
      </rPr>
      <t>previous</t>
    </r>
    <r>
      <rPr>
        <sz val="9"/>
        <color rgb="FF000000"/>
        <rFont val="Arial"/>
        <family val="2"/>
        <scheme val="minor"/>
      </rPr>
      <t xml:space="preserve"> year
•Select whole school document from list
</t>
    </r>
    <r>
      <rPr>
        <i/>
        <sz val="9"/>
        <color rgb="FF000000"/>
        <rFont val="Arial"/>
        <family val="2"/>
        <scheme val="minor"/>
      </rPr>
      <t xml:space="preserve">Names </t>
    </r>
    <r>
      <rPr>
        <b/>
        <i/>
        <sz val="9"/>
        <color rgb="FF000000"/>
        <rFont val="Arial"/>
        <family val="2"/>
        <scheme val="minor"/>
      </rPr>
      <t xml:space="preserve">must </t>
    </r>
    <r>
      <rPr>
        <i/>
        <sz val="9"/>
        <color rgb="FF000000"/>
        <rFont val="Arial"/>
        <family val="2"/>
        <scheme val="minor"/>
      </rPr>
      <t>match in order to be pulled correctly</t>
    </r>
  </si>
  <si>
    <r>
      <t xml:space="preserve">Export at End of Year
</t>
    </r>
    <r>
      <rPr>
        <sz val="9"/>
        <color rgb="FF000000"/>
        <rFont val="Arial"/>
        <family val="2"/>
        <scheme val="minor"/>
      </rPr>
      <t>• Click 'End of Year Save' button
• Type current year
• Select wholeschool workbook
You can check each student's yearly progression in this workbook!</t>
    </r>
  </si>
  <si>
    <t>Welcome to Rob's PE Movement Assessment Tracker 2.0</t>
  </si>
  <si>
    <t>Buy Me A Coffee</t>
  </si>
  <si>
    <t>Consider fueling future updates with a coffee! ☕☕☕</t>
  </si>
  <si>
    <t>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</si>
</sst>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0.0"/>
  </numFmts>
  <fonts count="69" x14ac:knownFonts="1">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24"/>
      <color theme="1"/>
      <name val="Arial"/>
      <family val="2"/>
    </font>
    <font>
      <b/>
      <sz val="10"/>
      <color theme="1"/>
      <name val="Arial"/>
      <family val="2"/>
      <scheme val="minor"/>
    </font>
    <font>
      <b/>
      <sz val="10"/>
      <color rgb="FF000000"/>
      <name val="Arial"/>
      <family val="2"/>
    </font>
    <font>
      <sz val="10"/>
      <color theme="1"/>
      <name val="Arial"/>
      <family val="2"/>
      <scheme val="minor"/>
    </font>
    <font>
      <b/>
      <sz val="10"/>
      <color theme="1"/>
      <name val="Arial"/>
      <family val="2"/>
    </font>
    <font>
      <b/>
      <sz val="10"/>
      <color rgb="FFFFFFFF"/>
      <name val="Arial"/>
      <family val="2"/>
    </font>
    <font>
      <sz val="10"/>
      <color theme="1"/>
      <name val="Arial"/>
      <family val="2"/>
    </font>
    <font>
      <sz val="10"/>
      <color rgb="FFFFFFFF"/>
      <name val="Arial"/>
      <family val="2"/>
    </font>
    <font>
      <sz val="10"/>
      <color rgb="FFFFFFFF"/>
      <name val="Arial"/>
      <family val="2"/>
      <scheme val="minor"/>
    </font>
    <font>
      <u/>
      <sz val="10"/>
      <color rgb="FF0000FF"/>
      <name val="Arial"/>
      <family val="2"/>
    </font>
    <font>
      <b/>
      <sz val="36"/>
      <color theme="1"/>
      <name val="Arial"/>
      <family val="2"/>
      <scheme val="minor"/>
    </font>
    <font>
      <sz val="10"/>
      <color theme="1"/>
      <name val="Arial"/>
      <family val="2"/>
    </font>
    <font>
      <sz val="10"/>
      <color rgb="FF000000"/>
      <name val="Arial"/>
      <family val="2"/>
      <scheme val="minor"/>
    </font>
    <font>
      <b/>
      <sz val="12"/>
      <color theme="1"/>
      <name val="Arial"/>
      <family val="2"/>
    </font>
    <font>
      <b/>
      <sz val="12"/>
      <color rgb="FF000000"/>
      <name val="Arial"/>
      <family val="2"/>
    </font>
    <font>
      <b/>
      <sz val="10"/>
      <color theme="1"/>
      <name val="Arial"/>
      <family val="2"/>
      <scheme val="minor"/>
    </font>
    <font>
      <b/>
      <sz val="10"/>
      <color rgb="FF000000"/>
      <name val="Arial"/>
      <family val="2"/>
    </font>
    <font>
      <sz val="24"/>
      <color theme="1"/>
      <name val="Arial"/>
      <family val="2"/>
    </font>
    <font>
      <b/>
      <sz val="10"/>
      <color theme="1"/>
      <name val="Arial"/>
      <family val="2"/>
    </font>
    <font>
      <b/>
      <sz val="10"/>
      <color rgb="FF000000"/>
      <name val="Arial"/>
      <family val="2"/>
      <scheme val="minor"/>
    </font>
    <font>
      <b/>
      <sz val="12"/>
      <color rgb="FF000000"/>
      <name val="Arial"/>
      <family val="2"/>
      <scheme val="minor"/>
    </font>
    <font>
      <b/>
      <sz val="22"/>
      <color rgb="FF000000"/>
      <name val="Arial"/>
      <family val="2"/>
      <scheme val="minor"/>
    </font>
    <font>
      <b/>
      <sz val="12"/>
      <color theme="2"/>
      <name val="Arial"/>
      <family val="2"/>
      <scheme val="minor"/>
    </font>
    <font>
      <sz val="9"/>
      <color rgb="FF000000"/>
      <name val="Arial"/>
      <family val="2"/>
      <scheme val="minor"/>
    </font>
    <font>
      <u/>
      <sz val="10"/>
      <color theme="10"/>
      <name val="Arial"/>
      <family val="2"/>
      <scheme val="minor"/>
    </font>
    <font>
      <u/>
      <sz val="10"/>
      <color rgb="FF000000"/>
      <name val="Arial"/>
      <family val="2"/>
      <scheme val="minor"/>
    </font>
    <font>
      <u/>
      <sz val="10"/>
      <color theme="10"/>
      <name val="Arial"/>
      <family val="2"/>
      <scheme val="minor"/>
    </font>
    <font>
      <b/>
      <i/>
      <sz val="9"/>
      <color rgb="FF000000"/>
      <name val="Arial"/>
      <family val="2"/>
      <scheme val="minor"/>
    </font>
    <font>
      <b/>
      <sz val="11"/>
      <color rgb="FF000000"/>
      <name val="Arial"/>
      <family val="2"/>
      <scheme val="minor"/>
    </font>
    <font>
      <sz val="10"/>
      <color theme="1"/>
      <name val="Arial"/>
      <family val="2"/>
      <scheme val="minor"/>
    </font>
    <font>
      <u/>
      <sz val="10"/>
      <color rgb="FF0000FF"/>
      <name val="Arial"/>
      <family val="2"/>
    </font>
    <font>
      <b/>
      <sz val="10"/>
      <color rgb="FFFFFFFF"/>
      <name val="Arial"/>
      <family val="2"/>
    </font>
    <font>
      <sz val="10"/>
      <color rgb="FFFFFFFF"/>
      <name val="Arial"/>
      <family val="2"/>
    </font>
    <font>
      <sz val="10"/>
      <name val="Arial"/>
      <family val="2"/>
    </font>
    <font>
      <b/>
      <sz val="10"/>
      <name val="Arial"/>
      <family val="2"/>
    </font>
    <font>
      <sz val="10"/>
      <color rgb="FFFFFFFF"/>
      <name val="Arial"/>
      <family val="2"/>
      <scheme val="minor"/>
    </font>
    <font>
      <b/>
      <sz val="36"/>
      <color theme="1"/>
      <name val="Arial"/>
      <family val="2"/>
    </font>
    <font>
      <sz val="11"/>
      <color rgb="FF000000"/>
      <name val="Arial"/>
      <family val="2"/>
      <scheme val="minor"/>
    </font>
    <font>
      <b/>
      <sz val="9"/>
      <color indexed="81"/>
      <name val="Tahoma"/>
      <family val="2"/>
    </font>
    <font>
      <sz val="9"/>
      <color indexed="81"/>
      <name val="Tahoma"/>
      <family val="2"/>
    </font>
    <font>
      <b/>
      <sz val="9"/>
      <color rgb="FF000000"/>
      <name val="Arial"/>
      <family val="2"/>
      <scheme val="minor"/>
    </font>
    <font>
      <b/>
      <sz val="16"/>
      <color theme="1"/>
      <name val="Arial"/>
      <family val="2"/>
    </font>
    <font>
      <sz val="26"/>
      <name val="Arial"/>
      <family val="2"/>
    </font>
    <font>
      <b/>
      <sz val="14"/>
      <color theme="1"/>
      <name val="Arial"/>
      <family val="2"/>
      <scheme val="minor"/>
    </font>
    <font>
      <b/>
      <sz val="26"/>
      <color theme="1"/>
      <name val="Arial"/>
      <family val="2"/>
    </font>
    <font>
      <b/>
      <sz val="9"/>
      <color rgb="FF000000"/>
      <name val="Arial"/>
      <family val="2"/>
    </font>
    <font>
      <b/>
      <sz val="22"/>
      <color theme="1"/>
      <name val="Arial"/>
      <family val="2"/>
      <scheme val="minor"/>
    </font>
    <font>
      <sz val="22"/>
      <color rgb="FF000000"/>
      <name val="Arial"/>
      <family val="2"/>
      <scheme val="minor"/>
    </font>
    <font>
      <b/>
      <sz val="11"/>
      <color theme="1"/>
      <name val="Arial"/>
      <family val="2"/>
      <scheme val="minor"/>
    </font>
    <font>
      <sz val="12"/>
      <color theme="1"/>
      <name val="Arial"/>
      <family val="2"/>
      <scheme val="minor"/>
    </font>
    <font>
      <b/>
      <sz val="12"/>
      <color theme="1"/>
      <name val="Arial"/>
      <family val="2"/>
      <scheme val="minor"/>
    </font>
    <font>
      <sz val="22"/>
      <color theme="1"/>
      <name val="Arial"/>
      <family val="2"/>
    </font>
    <font>
      <b/>
      <sz val="8"/>
      <color rgb="FF000000"/>
      <name val="Arial"/>
      <family val="2"/>
    </font>
    <font>
      <sz val="8"/>
      <color rgb="FF000000"/>
      <name val="Arial"/>
      <family val="2"/>
      <scheme val="minor"/>
    </font>
    <font>
      <sz val="22"/>
      <name val="Arial"/>
      <family val="2"/>
    </font>
    <font>
      <b/>
      <sz val="9"/>
      <color theme="1"/>
      <name val="Arial"/>
      <family val="2"/>
      <scheme val="minor"/>
    </font>
    <font>
      <b/>
      <sz val="9"/>
      <color rgb="FF000000"/>
      <name val="Arial"/>
      <family val="2"/>
      <scheme val="major"/>
    </font>
    <font>
      <sz val="9"/>
      <color rgb="FF181717"/>
      <name val="Arial"/>
      <family val="2"/>
      <scheme val="major"/>
    </font>
    <font>
      <sz val="9"/>
      <name val="Arial"/>
      <family val="2"/>
      <scheme val="major"/>
    </font>
    <font>
      <b/>
      <sz val="12"/>
      <name val="Aptos"/>
      <family val="2"/>
    </font>
    <font>
      <sz val="12"/>
      <name val="Aptos"/>
      <family val="2"/>
    </font>
    <font>
      <b/>
      <sz val="26"/>
      <color rgb="FF000000"/>
      <name val="Arial"/>
      <family val="2"/>
      <scheme val="minor"/>
    </font>
    <font>
      <b/>
      <sz val="14"/>
      <color rgb="FF000000"/>
      <name val="Arial"/>
      <family val="2"/>
      <scheme val="minor"/>
    </font>
    <font>
      <i/>
      <sz val="9"/>
      <color rgb="FF000000"/>
      <name val="Arial"/>
      <family val="2"/>
      <scheme val="minor"/>
    </font>
  </fonts>
  <fills count="32">
    <fill>
      <patternFill patternType="none"/>
    </fill>
    <fill>
      <patternFill patternType="gray125"/>
    </fill>
    <fill>
      <patternFill patternType="solid">
        <fgColor rgb="FF999999"/>
        <bgColor rgb="FF999999"/>
      </patternFill>
    </fill>
    <fill>
      <patternFill patternType="solid">
        <fgColor rgb="FFD9D9D9"/>
        <bgColor rgb="FFD9D9D9"/>
      </patternFill>
    </fill>
    <fill>
      <patternFill patternType="solid">
        <fgColor rgb="FFCFE2F3"/>
        <bgColor rgb="FFCFE2F3"/>
      </patternFill>
    </fill>
    <fill>
      <patternFill patternType="solid">
        <fgColor rgb="FF9FC5E8"/>
        <bgColor rgb="FF9FC5E8"/>
      </patternFill>
    </fill>
    <fill>
      <patternFill patternType="solid">
        <fgColor rgb="FF6FA8DC"/>
        <bgColor rgb="FF6FA8DC"/>
      </patternFill>
    </fill>
    <fill>
      <patternFill patternType="solid">
        <fgColor rgb="FFCCCCCC"/>
        <bgColor rgb="FFCCCCCC"/>
      </patternFill>
    </fill>
    <fill>
      <patternFill patternType="solid">
        <fgColor rgb="FF6AA84F"/>
        <bgColor rgb="FF6AA84F"/>
      </patternFill>
    </fill>
    <fill>
      <patternFill patternType="solid">
        <fgColor rgb="FF93C47D"/>
        <bgColor rgb="FF93C47D"/>
      </patternFill>
    </fill>
    <fill>
      <patternFill patternType="solid">
        <fgColor rgb="FF666666"/>
        <bgColor rgb="FF666666"/>
      </patternFill>
    </fill>
    <fill>
      <patternFill patternType="solid">
        <fgColor rgb="FFD9EAD3"/>
        <bgColor rgb="FFD9EAD3"/>
      </patternFill>
    </fill>
    <fill>
      <patternFill patternType="solid">
        <fgColor rgb="FF3D85C6"/>
        <bgColor rgb="FF3D85C6"/>
      </patternFill>
    </fill>
    <fill>
      <patternFill patternType="solid">
        <fgColor rgb="FF0B5394"/>
        <bgColor rgb="FF0B5394"/>
      </patternFill>
    </fill>
    <fill>
      <patternFill patternType="solid">
        <fgColor rgb="FFFFFFFF"/>
        <bgColor rgb="FFFFFFFF"/>
      </patternFill>
    </fill>
    <fill>
      <patternFill patternType="solid">
        <fgColor theme="0"/>
        <bgColor rgb="FFD9EAD3"/>
      </patternFill>
    </fill>
    <fill>
      <patternFill patternType="solid">
        <fgColor theme="0" tint="-4.9989318521683403E-2"/>
        <bgColor indexed="64"/>
      </patternFill>
    </fill>
    <fill>
      <patternFill patternType="solid">
        <fgColor theme="7"/>
        <bgColor indexed="64"/>
      </patternFill>
    </fill>
    <fill>
      <patternFill patternType="solid">
        <fgColor theme="9"/>
        <bgColor indexed="64"/>
      </patternFill>
    </fill>
    <fill>
      <patternFill patternType="solid">
        <fgColor theme="4"/>
        <bgColor indexed="64"/>
      </patternFill>
    </fill>
    <fill>
      <patternFill patternType="solid">
        <fgColor theme="0" tint="-0.14999847407452621"/>
        <bgColor indexed="64"/>
      </patternFill>
    </fill>
    <fill>
      <patternFill patternType="solid">
        <fgColor rgb="FF351C75"/>
        <bgColor rgb="FF351C75"/>
      </patternFill>
    </fill>
    <fill>
      <patternFill patternType="solid">
        <fgColor rgb="FF8E7CC3"/>
        <bgColor rgb="FF8E7CC3"/>
      </patternFill>
    </fill>
    <fill>
      <patternFill patternType="solid">
        <fgColor rgb="FF674EA7"/>
        <bgColor rgb="FF674EA7"/>
      </patternFill>
    </fill>
    <fill>
      <patternFill patternType="solid">
        <fgColor rgb="FFB4A7D6"/>
        <bgColor rgb="FFB4A7D6"/>
      </patternFill>
    </fill>
    <fill>
      <patternFill patternType="solid">
        <fgColor rgb="FFF9CB9C"/>
        <bgColor rgb="FFF9CB9C"/>
      </patternFill>
    </fill>
    <fill>
      <patternFill patternType="solid">
        <fgColor rgb="FFFCE5CD"/>
        <bgColor rgb="FFFCE5CD"/>
      </patternFill>
    </fill>
    <fill>
      <patternFill patternType="solid">
        <fgColor rgb="FFA4C2F4"/>
        <bgColor rgb="FFA4C2F4"/>
      </patternFill>
    </fill>
    <fill>
      <patternFill patternType="solid">
        <fgColor rgb="FF9999FF"/>
        <bgColor indexed="64"/>
      </patternFill>
    </fill>
    <fill>
      <patternFill patternType="solid">
        <fgColor rgb="FFCCCCFF"/>
        <bgColor indexed="64"/>
      </patternFill>
    </fill>
    <fill>
      <patternFill patternType="solid">
        <fgColor rgb="FFFFFFCC"/>
        <bgColor indexed="64"/>
      </patternFill>
    </fill>
    <fill>
      <patternFill patternType="solid">
        <fgColor theme="9" tint="0.79998168889431442"/>
        <bgColor theme="9" tint="0.79998168889431442"/>
      </patternFill>
    </fill>
  </fills>
  <borders count="138">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style="thick">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ck">
        <color rgb="FF000000"/>
      </top>
      <bottom style="thin">
        <color rgb="FF000000"/>
      </bottom>
      <diagonal/>
    </border>
    <border>
      <left style="thin">
        <color rgb="FF000000"/>
      </left>
      <right style="thick">
        <color rgb="FF000000"/>
      </right>
      <top style="thick">
        <color rgb="FF000000"/>
      </top>
      <bottom style="thin">
        <color rgb="FF000000"/>
      </bottom>
      <diagonal/>
    </border>
    <border>
      <left style="thick">
        <color rgb="FF000000"/>
      </left>
      <right/>
      <top/>
      <bottom/>
      <diagonal/>
    </border>
    <border>
      <left/>
      <right style="thick">
        <color rgb="FF000000"/>
      </right>
      <top/>
      <bottom/>
      <diagonal/>
    </border>
    <border>
      <left style="thick">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right/>
      <top/>
      <bottom style="thin">
        <color rgb="FF000000"/>
      </bottom>
      <diagonal/>
    </border>
    <border>
      <left/>
      <right style="thick">
        <color rgb="FF000000"/>
      </right>
      <top/>
      <bottom style="thin">
        <color rgb="FF000000"/>
      </bottom>
      <diagonal/>
    </border>
    <border>
      <left/>
      <right style="thin">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right style="thin">
        <color rgb="FF000000"/>
      </right>
      <top/>
      <bottom style="thick">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right/>
      <top style="thin">
        <color rgb="FF000000"/>
      </top>
      <bottom/>
      <diagonal/>
    </border>
    <border>
      <left style="thin">
        <color rgb="FF000000"/>
      </left>
      <right/>
      <top/>
      <bottom style="thin">
        <color rgb="FF000000"/>
      </bottom>
      <diagonal/>
    </border>
    <border>
      <left style="thin">
        <color rgb="FF000000"/>
      </left>
      <right style="thick">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style="thick">
        <color rgb="FF000000"/>
      </top>
      <bottom/>
      <diagonal/>
    </border>
    <border>
      <left style="thin">
        <color rgb="FF000000"/>
      </left>
      <right style="thin">
        <color rgb="FF000000"/>
      </right>
      <top style="thin">
        <color rgb="FF000000"/>
      </top>
      <bottom style="thin">
        <color indexed="64"/>
      </bottom>
      <diagonal/>
    </border>
    <border>
      <left/>
      <right style="thick">
        <color rgb="FF000000"/>
      </right>
      <top style="thin">
        <color rgb="FF000000"/>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bottom style="medium">
        <color indexed="64"/>
      </bottom>
      <diagonal/>
    </border>
    <border>
      <left/>
      <right style="thin">
        <color rgb="FF000000"/>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ck">
        <color indexed="64"/>
      </left>
      <right/>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rgb="FF000000"/>
      </left>
      <right style="thick">
        <color rgb="FF000000"/>
      </right>
      <top/>
      <bottom style="thick">
        <color rgb="FF000000"/>
      </bottom>
      <diagonal/>
    </border>
    <border>
      <left style="thick">
        <color rgb="FF000000"/>
      </left>
      <right style="thick">
        <color rgb="FF000000"/>
      </right>
      <top style="thick">
        <color rgb="FF000000"/>
      </top>
      <bottom/>
      <diagonal/>
    </border>
    <border>
      <left style="thick">
        <color rgb="FF000000"/>
      </left>
      <right style="thick">
        <color rgb="FF000000"/>
      </right>
      <top style="thick">
        <color rgb="FF000000"/>
      </top>
      <bottom style="thick">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ck">
        <color rgb="FF000000"/>
      </right>
      <top style="thick">
        <color rgb="FF000000"/>
      </top>
      <bottom style="thin">
        <color rgb="FF000000"/>
      </bottom>
      <diagonal/>
    </border>
    <border>
      <left style="thick">
        <color indexed="64"/>
      </left>
      <right style="thick">
        <color indexed="64"/>
      </right>
      <top style="thick">
        <color indexed="64"/>
      </top>
      <bottom style="thick">
        <color indexed="64"/>
      </bottom>
      <diagonal/>
    </border>
    <border>
      <left style="medium">
        <color indexed="64"/>
      </left>
      <right style="medium">
        <color indexed="64"/>
      </right>
      <top style="medium">
        <color indexed="64"/>
      </top>
      <bottom style="medium">
        <color indexed="64"/>
      </bottom>
      <diagonal/>
    </border>
    <border>
      <left style="thick">
        <color indexed="64"/>
      </left>
      <right style="thick">
        <color rgb="FF000000"/>
      </right>
      <top style="thick">
        <color rgb="FF000000"/>
      </top>
      <bottom style="thick">
        <color rgb="FF000000"/>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style="thin">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rgb="FF000000"/>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rgb="FF000000"/>
      </bottom>
      <diagonal/>
    </border>
    <border>
      <left style="medium">
        <color indexed="64"/>
      </left>
      <right style="thin">
        <color rgb="FF000000"/>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0000"/>
      </left>
      <right/>
      <top style="thin">
        <color rgb="FF000000"/>
      </top>
      <bottom style="thin">
        <color rgb="FF000000"/>
      </bottom>
      <diagonal/>
    </border>
    <border>
      <left style="thick">
        <color rgb="FF000000"/>
      </left>
      <right/>
      <top style="thick">
        <color rgb="FF000000"/>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ck">
        <color theme="1"/>
      </right>
      <top style="thin">
        <color indexed="64"/>
      </top>
      <bottom style="thick">
        <color theme="1"/>
      </bottom>
      <diagonal/>
    </border>
    <border>
      <left style="thin">
        <color indexed="64"/>
      </left>
      <right style="thin">
        <color indexed="64"/>
      </right>
      <top style="thin">
        <color indexed="64"/>
      </top>
      <bottom style="thick">
        <color theme="1"/>
      </bottom>
      <diagonal/>
    </border>
    <border>
      <left style="thick">
        <color theme="1"/>
      </left>
      <right style="thin">
        <color indexed="64"/>
      </right>
      <top style="thin">
        <color indexed="64"/>
      </top>
      <bottom style="thick">
        <color theme="1"/>
      </bottom>
      <diagonal/>
    </border>
    <border>
      <left style="thin">
        <color indexed="64"/>
      </left>
      <right style="thick">
        <color theme="1"/>
      </right>
      <top style="thin">
        <color indexed="64"/>
      </top>
      <bottom style="thin">
        <color indexed="64"/>
      </bottom>
      <diagonal/>
    </border>
    <border>
      <left style="thick">
        <color theme="1"/>
      </left>
      <right style="thin">
        <color indexed="64"/>
      </right>
      <top style="thin">
        <color indexed="64"/>
      </top>
      <bottom style="thin">
        <color indexed="64"/>
      </bottom>
      <diagonal/>
    </border>
    <border>
      <left style="thin">
        <color indexed="64"/>
      </left>
      <right style="thick">
        <color theme="1"/>
      </right>
      <top style="thick">
        <color theme="1"/>
      </top>
      <bottom style="thin">
        <color indexed="64"/>
      </bottom>
      <diagonal/>
    </border>
    <border>
      <left style="thin">
        <color indexed="64"/>
      </left>
      <right style="thin">
        <color indexed="64"/>
      </right>
      <top style="thick">
        <color theme="1"/>
      </top>
      <bottom style="thin">
        <color indexed="64"/>
      </bottom>
      <diagonal/>
    </border>
    <border>
      <left style="thick">
        <color theme="1"/>
      </left>
      <right style="thin">
        <color indexed="64"/>
      </right>
      <top style="thick">
        <color theme="1"/>
      </top>
      <bottom style="thin">
        <color indexed="64"/>
      </bottom>
      <diagonal/>
    </border>
    <border>
      <left style="thin">
        <color indexed="64"/>
      </left>
      <right style="thick">
        <color theme="1"/>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theme="1"/>
      </left>
      <right style="thin">
        <color indexed="64"/>
      </right>
      <top style="thick">
        <color indexed="64"/>
      </top>
      <bottom style="thin">
        <color indexed="64"/>
      </bottom>
      <diagonal/>
    </border>
    <border>
      <left style="thick">
        <color rgb="FF000000"/>
      </left>
      <right style="thin">
        <color rgb="FF000000"/>
      </right>
      <top style="thin">
        <color rgb="FF000000"/>
      </top>
      <bottom style="thin">
        <color indexed="64"/>
      </bottom>
      <diagonal/>
    </border>
    <border>
      <left style="thin">
        <color indexed="64"/>
      </left>
      <right style="thin">
        <color indexed="64"/>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rgb="FF000000"/>
      </right>
      <top style="thick">
        <color rgb="FF000000"/>
      </top>
      <bottom style="thin">
        <color rgb="FF000000"/>
      </bottom>
      <diagonal/>
    </border>
    <border>
      <left/>
      <right style="thin">
        <color indexed="64"/>
      </right>
      <top style="thin">
        <color rgb="FF000000"/>
      </top>
      <bottom style="thin">
        <color rgb="FF000000"/>
      </bottom>
      <diagonal/>
    </border>
    <border>
      <left style="thick">
        <color rgb="FF000000"/>
      </left>
      <right style="thick">
        <color indexed="64"/>
      </right>
      <top style="thick">
        <color rgb="FF000000"/>
      </top>
      <bottom/>
      <diagonal/>
    </border>
    <border>
      <left/>
      <right style="thick">
        <color indexed="64"/>
      </right>
      <top style="thick">
        <color rgb="FF000000"/>
      </top>
      <bottom/>
      <diagonal/>
    </border>
    <border>
      <left style="thick">
        <color indexed="64"/>
      </left>
      <right/>
      <top style="thick">
        <color rgb="FF000000"/>
      </top>
      <bottom/>
      <diagonal/>
    </border>
    <border>
      <left style="thick">
        <color indexed="64"/>
      </left>
      <right style="thick">
        <color rgb="FF000000"/>
      </right>
      <top style="thick">
        <color rgb="FF000000"/>
      </top>
      <bottom/>
      <diagonal/>
    </border>
    <border>
      <left style="thick">
        <color indexed="64"/>
      </left>
      <right style="thick">
        <color indexed="64"/>
      </right>
      <top style="thick">
        <color indexed="64"/>
      </top>
      <bottom/>
      <diagonal/>
    </border>
    <border>
      <left/>
      <right style="thick">
        <color indexed="64"/>
      </right>
      <top style="thick">
        <color indexed="64"/>
      </top>
      <bottom/>
      <diagonal/>
    </border>
    <border>
      <left/>
      <right/>
      <top style="thick">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thick">
        <color rgb="FF000000"/>
      </top>
      <bottom style="thick">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top/>
      <bottom/>
      <diagonal/>
    </border>
    <border>
      <left/>
      <right style="thin">
        <color indexed="64"/>
      </right>
      <top/>
      <bottom/>
      <diagonal/>
    </border>
    <border>
      <left/>
      <right style="thin">
        <color indexed="64"/>
      </right>
      <top style="medium">
        <color indexed="64"/>
      </top>
      <bottom style="thin">
        <color rgb="FF000000"/>
      </bottom>
      <diagonal/>
    </border>
  </borders>
  <cellStyleXfs count="6">
    <xf numFmtId="0" fontId="0" fillId="0" borderId="0"/>
    <xf numFmtId="0" fontId="4" fillId="0" borderId="0"/>
    <xf numFmtId="0" fontId="29" fillId="0" borderId="0" applyNumberFormat="0" applyFill="0" applyBorder="0" applyAlignment="0" applyProtection="0"/>
    <xf numFmtId="0" fontId="17" fillId="0" borderId="0"/>
    <xf numFmtId="0" fontId="31" fillId="0" borderId="0" applyNumberFormat="0" applyFill="0" applyBorder="0" applyAlignment="0" applyProtection="0"/>
    <xf numFmtId="0" fontId="3" fillId="0" borderId="0"/>
  </cellStyleXfs>
  <cellXfs count="475">
    <xf numFmtId="0" fontId="0" fillId="0" borderId="0" xfId="0"/>
    <xf numFmtId="0" fontId="7" fillId="5" borderId="10" xfId="0" applyFont="1" applyFill="1" applyBorder="1" applyAlignment="1">
      <alignment vertical="top" wrapText="1"/>
    </xf>
    <xf numFmtId="0" fontId="7" fillId="0" borderId="11" xfId="0" applyFont="1" applyBorder="1" applyAlignment="1">
      <alignment vertical="top" wrapText="1"/>
    </xf>
    <xf numFmtId="0" fontId="6" fillId="7" borderId="12" xfId="0" applyFont="1" applyFill="1" applyBorder="1" applyAlignment="1">
      <alignment vertical="top"/>
    </xf>
    <xf numFmtId="0" fontId="6" fillId="7" borderId="13" xfId="0" applyFont="1" applyFill="1" applyBorder="1" applyAlignment="1">
      <alignment vertical="top"/>
    </xf>
    <xf numFmtId="0" fontId="9" fillId="9" borderId="9" xfId="0" applyFont="1" applyFill="1" applyBorder="1"/>
    <xf numFmtId="0" fontId="9" fillId="9" borderId="11" xfId="0" applyFont="1" applyFill="1" applyBorder="1"/>
    <xf numFmtId="0" fontId="9" fillId="9" borderId="24" xfId="0" applyFont="1" applyFill="1" applyBorder="1"/>
    <xf numFmtId="0" fontId="10" fillId="10" borderId="18" xfId="0" applyFont="1" applyFill="1" applyBorder="1"/>
    <xf numFmtId="0" fontId="11" fillId="10" borderId="25" xfId="0" applyFont="1" applyFill="1" applyBorder="1"/>
    <xf numFmtId="0" fontId="11" fillId="11" borderId="11" xfId="0" applyFont="1" applyFill="1" applyBorder="1" applyAlignment="1">
      <alignment horizontal="left"/>
    </xf>
    <xf numFmtId="0" fontId="11" fillId="11" borderId="24" xfId="0" applyFont="1" applyFill="1" applyBorder="1" applyAlignment="1">
      <alignment horizontal="left"/>
    </xf>
    <xf numFmtId="0" fontId="12" fillId="10" borderId="10" xfId="0" applyFont="1" applyFill="1" applyBorder="1"/>
    <xf numFmtId="0" fontId="12" fillId="10" borderId="11" xfId="0" applyFont="1" applyFill="1" applyBorder="1" applyAlignment="1">
      <alignment horizontal="right"/>
    </xf>
    <xf numFmtId="0" fontId="11" fillId="11" borderId="30" xfId="0" applyFont="1" applyFill="1" applyBorder="1" applyAlignment="1">
      <alignment horizontal="left"/>
    </xf>
    <xf numFmtId="0" fontId="11" fillId="11" borderId="28" xfId="0" applyFont="1" applyFill="1" applyBorder="1" applyAlignment="1">
      <alignment horizontal="left"/>
    </xf>
    <xf numFmtId="0" fontId="13" fillId="0" borderId="0" xfId="0" applyFont="1"/>
    <xf numFmtId="0" fontId="10" fillId="13" borderId="33" xfId="0" applyFont="1" applyFill="1" applyBorder="1" applyAlignment="1">
      <alignment vertical="top" wrapText="1"/>
    </xf>
    <xf numFmtId="0" fontId="7" fillId="4" borderId="33" xfId="0" applyFont="1" applyFill="1" applyBorder="1" applyAlignment="1">
      <alignment vertical="top" wrapText="1"/>
    </xf>
    <xf numFmtId="0" fontId="7" fillId="12" borderId="33" xfId="0" applyFont="1" applyFill="1" applyBorder="1" applyAlignment="1">
      <alignment vertical="top" wrapText="1"/>
    </xf>
    <xf numFmtId="0" fontId="7" fillId="6" borderId="33" xfId="0" applyFont="1" applyFill="1" applyBorder="1" applyAlignment="1">
      <alignment vertical="top" wrapText="1"/>
    </xf>
    <xf numFmtId="0" fontId="7" fillId="5" borderId="33" xfId="0" applyFont="1" applyFill="1" applyBorder="1" applyAlignment="1">
      <alignment vertical="top" wrapText="1"/>
    </xf>
    <xf numFmtId="0" fontId="6" fillId="7" borderId="10" xfId="0" applyFont="1" applyFill="1" applyBorder="1" applyAlignment="1">
      <alignment vertical="top"/>
    </xf>
    <xf numFmtId="0" fontId="6" fillId="7" borderId="36" xfId="0" applyFont="1" applyFill="1" applyBorder="1" applyAlignment="1">
      <alignment vertical="top"/>
    </xf>
    <xf numFmtId="0" fontId="7" fillId="5" borderId="35" xfId="0" applyFont="1" applyFill="1" applyBorder="1" applyAlignment="1">
      <alignment horizontal="center" vertical="center" wrapText="1"/>
    </xf>
    <xf numFmtId="0" fontId="17" fillId="0" borderId="0" xfId="0" applyFont="1"/>
    <xf numFmtId="0" fontId="7" fillId="4" borderId="38" xfId="0" applyFont="1" applyFill="1" applyBorder="1" applyAlignment="1">
      <alignment vertical="top" wrapText="1"/>
    </xf>
    <xf numFmtId="0" fontId="7" fillId="4" borderId="37" xfId="0" applyFont="1" applyFill="1" applyBorder="1" applyAlignment="1">
      <alignment horizontal="center" vertical="center" wrapText="1"/>
    </xf>
    <xf numFmtId="0" fontId="7" fillId="5" borderId="37" xfId="0" applyFont="1" applyFill="1" applyBorder="1" applyAlignment="1">
      <alignment horizontal="center" vertical="center" wrapText="1"/>
    </xf>
    <xf numFmtId="0" fontId="7" fillId="6" borderId="37" xfId="0" applyFont="1" applyFill="1" applyBorder="1" applyAlignment="1">
      <alignment horizontal="center" vertical="center" wrapText="1"/>
    </xf>
    <xf numFmtId="0" fontId="7" fillId="12" borderId="37" xfId="0" applyFont="1" applyFill="1" applyBorder="1" applyAlignment="1">
      <alignment horizontal="center" vertical="center" wrapText="1"/>
    </xf>
    <xf numFmtId="0" fontId="10" fillId="13" borderId="37" xfId="0" applyFont="1" applyFill="1" applyBorder="1" applyAlignment="1">
      <alignment horizontal="center" vertical="center" wrapText="1"/>
    </xf>
    <xf numFmtId="0" fontId="11" fillId="11" borderId="9" xfId="0" applyFont="1" applyFill="1" applyBorder="1" applyAlignment="1">
      <alignment horizontal="left"/>
    </xf>
    <xf numFmtId="0" fontId="11" fillId="11" borderId="16" xfId="0" applyFont="1" applyFill="1" applyBorder="1" applyAlignment="1">
      <alignment horizontal="left"/>
    </xf>
    <xf numFmtId="0" fontId="11" fillId="11" borderId="29" xfId="0" applyFont="1" applyFill="1" applyBorder="1" applyAlignment="1">
      <alignment horizontal="left"/>
    </xf>
    <xf numFmtId="0" fontId="10" fillId="13" borderId="38" xfId="0" applyFont="1" applyFill="1" applyBorder="1" applyAlignment="1">
      <alignment vertical="top" wrapText="1"/>
    </xf>
    <xf numFmtId="0" fontId="7" fillId="5" borderId="38" xfId="0" applyFont="1" applyFill="1" applyBorder="1" applyAlignment="1">
      <alignment vertical="top" wrapText="1"/>
    </xf>
    <xf numFmtId="0" fontId="21" fillId="5" borderId="38" xfId="0" applyFont="1" applyFill="1" applyBorder="1" applyAlignment="1">
      <alignment vertical="top" wrapText="1"/>
    </xf>
    <xf numFmtId="0" fontId="21" fillId="12" borderId="33" xfId="0" applyFont="1" applyFill="1" applyBorder="1" applyAlignment="1">
      <alignment vertical="top" wrapText="1"/>
    </xf>
    <xf numFmtId="0" fontId="21" fillId="5" borderId="33" xfId="0" applyFont="1" applyFill="1" applyBorder="1" applyAlignment="1">
      <alignment vertical="top" wrapText="1"/>
    </xf>
    <xf numFmtId="0" fontId="21" fillId="6" borderId="33" xfId="0" applyFont="1" applyFill="1" applyBorder="1" applyAlignment="1">
      <alignment vertical="top" wrapText="1"/>
    </xf>
    <xf numFmtId="0" fontId="20" fillId="7" borderId="12" xfId="0" applyFont="1" applyFill="1" applyBorder="1" applyAlignment="1">
      <alignment vertical="top"/>
    </xf>
    <xf numFmtId="0" fontId="21" fillId="4" borderId="38" xfId="0" applyFont="1" applyFill="1" applyBorder="1" applyAlignment="1">
      <alignment vertical="top" wrapText="1"/>
    </xf>
    <xf numFmtId="0" fontId="16" fillId="11" borderId="11" xfId="0" applyFont="1" applyFill="1" applyBorder="1" applyAlignment="1">
      <alignment horizontal="left"/>
    </xf>
    <xf numFmtId="0" fontId="21" fillId="12" borderId="39" xfId="0" applyFont="1" applyFill="1" applyBorder="1" applyAlignment="1">
      <alignment vertical="top" wrapText="1"/>
    </xf>
    <xf numFmtId="0" fontId="21" fillId="6" borderId="39" xfId="0" applyFont="1" applyFill="1" applyBorder="1" applyAlignment="1">
      <alignment vertical="top" wrapText="1"/>
    </xf>
    <xf numFmtId="0" fontId="11" fillId="11" borderId="20" xfId="0" applyFont="1" applyFill="1" applyBorder="1" applyAlignment="1">
      <alignment horizontal="left"/>
    </xf>
    <xf numFmtId="0" fontId="9" fillId="9" borderId="45" xfId="0" applyFont="1" applyFill="1" applyBorder="1"/>
    <xf numFmtId="0" fontId="9" fillId="9" borderId="46" xfId="0" applyFont="1" applyFill="1" applyBorder="1"/>
    <xf numFmtId="0" fontId="11" fillId="11" borderId="45" xfId="0" applyFont="1" applyFill="1" applyBorder="1" applyAlignment="1">
      <alignment horizontal="left"/>
    </xf>
    <xf numFmtId="0" fontId="11" fillId="11" borderId="46" xfId="0" applyFont="1" applyFill="1" applyBorder="1" applyAlignment="1">
      <alignment horizontal="left"/>
    </xf>
    <xf numFmtId="0" fontId="11" fillId="11" borderId="47" xfId="0" applyFont="1" applyFill="1" applyBorder="1" applyAlignment="1">
      <alignment horizontal="left"/>
    </xf>
    <xf numFmtId="0" fontId="11" fillId="11" borderId="48" xfId="0" applyFont="1" applyFill="1" applyBorder="1" applyAlignment="1">
      <alignment horizontal="left"/>
    </xf>
    <xf numFmtId="0" fontId="11" fillId="11" borderId="49" xfId="0" applyFont="1" applyFill="1" applyBorder="1" applyAlignment="1">
      <alignment horizontal="left"/>
    </xf>
    <xf numFmtId="0" fontId="11" fillId="11" borderId="50" xfId="0" applyFont="1" applyFill="1" applyBorder="1" applyAlignment="1">
      <alignment horizontal="left"/>
    </xf>
    <xf numFmtId="0" fontId="20" fillId="7" borderId="10" xfId="0" applyFont="1" applyFill="1" applyBorder="1" applyAlignment="1">
      <alignment vertical="top"/>
    </xf>
    <xf numFmtId="0" fontId="6" fillId="7" borderId="35" xfId="0" applyFont="1" applyFill="1" applyBorder="1" applyAlignment="1">
      <alignment vertical="top"/>
    </xf>
    <xf numFmtId="0" fontId="11" fillId="10" borderId="32" xfId="0" applyFont="1" applyFill="1" applyBorder="1"/>
    <xf numFmtId="0" fontId="12" fillId="10" borderId="23" xfId="0" applyFont="1" applyFill="1" applyBorder="1" applyAlignment="1">
      <alignment horizontal="right"/>
    </xf>
    <xf numFmtId="0" fontId="11" fillId="15" borderId="0" xfId="0" applyFont="1" applyFill="1" applyAlignment="1">
      <alignment horizontal="left"/>
    </xf>
    <xf numFmtId="164" fontId="16" fillId="15" borderId="0" xfId="0" applyNumberFormat="1" applyFont="1" applyFill="1" applyAlignment="1">
      <alignment horizontal="left"/>
    </xf>
    <xf numFmtId="164" fontId="16" fillId="11" borderId="30" xfId="0" quotePrefix="1" applyNumberFormat="1" applyFont="1" applyFill="1" applyBorder="1" applyAlignment="1">
      <alignment horizontal="left"/>
    </xf>
    <xf numFmtId="0" fontId="16" fillId="11" borderId="11" xfId="0" quotePrefix="1" applyFont="1" applyFill="1" applyBorder="1" applyAlignment="1">
      <alignment horizontal="left"/>
    </xf>
    <xf numFmtId="0" fontId="16" fillId="11" borderId="20" xfId="0" quotePrefix="1" applyFont="1" applyFill="1" applyBorder="1" applyAlignment="1">
      <alignment horizontal="left"/>
    </xf>
    <xf numFmtId="0" fontId="16" fillId="11" borderId="30" xfId="0" quotePrefix="1" applyFont="1" applyFill="1" applyBorder="1" applyAlignment="1">
      <alignment horizontal="left"/>
    </xf>
    <xf numFmtId="0" fontId="25" fillId="0" borderId="0" xfId="0" applyFont="1" applyAlignment="1">
      <alignment horizontal="center" vertical="center"/>
    </xf>
    <xf numFmtId="0" fontId="21" fillId="0" borderId="11" xfId="0" applyFont="1" applyBorder="1" applyAlignment="1">
      <alignment vertical="top" wrapText="1"/>
    </xf>
    <xf numFmtId="0" fontId="25" fillId="16" borderId="66" xfId="0" applyFont="1" applyFill="1" applyBorder="1" applyAlignment="1">
      <alignment horizontal="center" vertical="center" wrapText="1"/>
    </xf>
    <xf numFmtId="0" fontId="25" fillId="16" borderId="78" xfId="0" applyFont="1" applyFill="1" applyBorder="1" applyAlignment="1">
      <alignment horizontal="center" vertical="center" wrapText="1"/>
    </xf>
    <xf numFmtId="0" fontId="25" fillId="0" borderId="78" xfId="0" applyFont="1" applyBorder="1" applyAlignment="1">
      <alignment horizontal="center" vertical="center" wrapText="1"/>
    </xf>
    <xf numFmtId="0" fontId="25" fillId="0" borderId="67" xfId="0" applyFont="1" applyBorder="1" applyAlignment="1">
      <alignment horizontal="center" vertical="center" wrapText="1"/>
    </xf>
    <xf numFmtId="0" fontId="33" fillId="0" borderId="78" xfId="0" applyFont="1" applyBorder="1" applyAlignment="1">
      <alignment horizontal="center" vertical="center" wrapText="1"/>
    </xf>
    <xf numFmtId="0" fontId="17" fillId="0" borderId="0" xfId="3"/>
    <xf numFmtId="0" fontId="21" fillId="4" borderId="38" xfId="3" applyFont="1" applyFill="1" applyBorder="1" applyAlignment="1">
      <alignment vertical="top" wrapText="1"/>
    </xf>
    <xf numFmtId="0" fontId="21" fillId="5" borderId="33" xfId="3" applyFont="1" applyFill="1" applyBorder="1" applyAlignment="1">
      <alignment vertical="top" wrapText="1"/>
    </xf>
    <xf numFmtId="0" fontId="21" fillId="6" borderId="33" xfId="3" applyFont="1" applyFill="1" applyBorder="1" applyAlignment="1">
      <alignment vertical="top" wrapText="1"/>
    </xf>
    <xf numFmtId="0" fontId="21" fillId="12" borderId="33" xfId="3" applyFont="1" applyFill="1" applyBorder="1" applyAlignment="1">
      <alignment vertical="top" wrapText="1"/>
    </xf>
    <xf numFmtId="0" fontId="20" fillId="7" borderId="12" xfId="3" applyFont="1" applyFill="1" applyBorder="1" applyAlignment="1">
      <alignment vertical="top"/>
    </xf>
    <xf numFmtId="0" fontId="20" fillId="7" borderId="13" xfId="3" applyFont="1" applyFill="1" applyBorder="1" applyAlignment="1">
      <alignment vertical="top"/>
    </xf>
    <xf numFmtId="0" fontId="21" fillId="4" borderId="37" xfId="3" applyFont="1" applyFill="1" applyBorder="1" applyAlignment="1">
      <alignment horizontal="center" vertical="center" wrapText="1"/>
    </xf>
    <xf numFmtId="0" fontId="21" fillId="5" borderId="37" xfId="3" applyFont="1" applyFill="1" applyBorder="1" applyAlignment="1">
      <alignment horizontal="center" vertical="center" wrapText="1"/>
    </xf>
    <xf numFmtId="0" fontId="21" fillId="6" borderId="37" xfId="3" applyFont="1" applyFill="1" applyBorder="1" applyAlignment="1">
      <alignment horizontal="center" vertical="center" wrapText="1"/>
    </xf>
    <xf numFmtId="0" fontId="21" fillId="12" borderId="82" xfId="3" applyFont="1" applyFill="1" applyBorder="1" applyAlignment="1">
      <alignment horizontal="center" vertical="center" wrapText="1"/>
    </xf>
    <xf numFmtId="0" fontId="20" fillId="7" borderId="11" xfId="3" applyFont="1" applyFill="1" applyBorder="1" applyAlignment="1">
      <alignment vertical="top"/>
    </xf>
    <xf numFmtId="0" fontId="20" fillId="7" borderId="36" xfId="3" applyFont="1" applyFill="1" applyBorder="1" applyAlignment="1">
      <alignment vertical="top"/>
    </xf>
    <xf numFmtId="0" fontId="17" fillId="0" borderId="74" xfId="3" applyBorder="1"/>
    <xf numFmtId="0" fontId="36" fillId="10" borderId="25" xfId="3" applyFont="1" applyFill="1" applyBorder="1"/>
    <xf numFmtId="0" fontId="16" fillId="10" borderId="25" xfId="3" applyFont="1" applyFill="1" applyBorder="1"/>
    <xf numFmtId="0" fontId="37" fillId="10" borderId="11" xfId="3" applyFont="1" applyFill="1" applyBorder="1"/>
    <xf numFmtId="0" fontId="37" fillId="10" borderId="11" xfId="3" applyFont="1" applyFill="1" applyBorder="1" applyAlignment="1">
      <alignment horizontal="right"/>
    </xf>
    <xf numFmtId="0" fontId="17" fillId="0" borderId="34" xfId="3" applyBorder="1"/>
    <xf numFmtId="0" fontId="24" fillId="9" borderId="85" xfId="3" applyFont="1" applyFill="1" applyBorder="1"/>
    <xf numFmtId="0" fontId="24" fillId="9" borderId="33" xfId="3" applyFont="1" applyFill="1" applyBorder="1"/>
    <xf numFmtId="0" fontId="24" fillId="9" borderId="15" xfId="3" applyFont="1" applyFill="1" applyBorder="1"/>
    <xf numFmtId="0" fontId="24" fillId="9" borderId="84" xfId="3" applyFont="1" applyFill="1" applyBorder="1"/>
    <xf numFmtId="0" fontId="17" fillId="11" borderId="86" xfId="3" applyFill="1" applyBorder="1" applyAlignment="1">
      <alignment horizontal="left"/>
    </xf>
    <xf numFmtId="0" fontId="17" fillId="11" borderId="37" xfId="3" applyFill="1" applyBorder="1" applyAlignment="1">
      <alignment horizontal="left"/>
    </xf>
    <xf numFmtId="0" fontId="17" fillId="11" borderId="87" xfId="3" applyFill="1" applyBorder="1" applyAlignment="1">
      <alignment horizontal="left"/>
    </xf>
    <xf numFmtId="0" fontId="17" fillId="11" borderId="45" xfId="3" applyFill="1" applyBorder="1" applyAlignment="1">
      <alignment horizontal="left"/>
    </xf>
    <xf numFmtId="0" fontId="17" fillId="11" borderId="88" xfId="3" applyFill="1" applyBorder="1" applyAlignment="1">
      <alignment horizontal="left"/>
    </xf>
    <xf numFmtId="0" fontId="16" fillId="11" borderId="89" xfId="3" applyFont="1" applyFill="1" applyBorder="1" applyAlignment="1">
      <alignment horizontal="left"/>
    </xf>
    <xf numFmtId="0" fontId="17" fillId="11" borderId="90" xfId="3" applyFill="1" applyBorder="1" applyAlignment="1">
      <alignment horizontal="left"/>
    </xf>
    <xf numFmtId="0" fontId="17" fillId="11" borderId="91" xfId="3" applyFill="1" applyBorder="1" applyAlignment="1">
      <alignment horizontal="left"/>
    </xf>
    <xf numFmtId="0" fontId="21" fillId="4" borderId="57" xfId="0" applyFont="1" applyFill="1" applyBorder="1" applyAlignment="1">
      <alignment vertical="top" wrapText="1"/>
    </xf>
    <xf numFmtId="0" fontId="21" fillId="5" borderId="4" xfId="0" applyFont="1" applyFill="1" applyBorder="1" applyAlignment="1">
      <alignment vertical="top" wrapText="1"/>
    </xf>
    <xf numFmtId="0" fontId="21" fillId="5" borderId="57" xfId="0" applyFont="1" applyFill="1" applyBorder="1" applyAlignment="1">
      <alignment vertical="top" wrapText="1"/>
    </xf>
    <xf numFmtId="0" fontId="21" fillId="5" borderId="6" xfId="0" applyFont="1" applyFill="1" applyBorder="1" applyAlignment="1">
      <alignment vertical="top" wrapText="1"/>
    </xf>
    <xf numFmtId="0" fontId="21" fillId="5" borderId="27" xfId="0" applyFont="1" applyFill="1" applyBorder="1" applyAlignment="1">
      <alignment vertical="top" wrapText="1"/>
    </xf>
    <xf numFmtId="0" fontId="34" fillId="0" borderId="18" xfId="0" applyFont="1" applyBorder="1"/>
    <xf numFmtId="0" fontId="18" fillId="0" borderId="0" xfId="0" applyFont="1" applyAlignment="1">
      <alignment horizontal="center"/>
    </xf>
    <xf numFmtId="0" fontId="23" fillId="0" borderId="0" xfId="0" applyFont="1" applyAlignment="1">
      <alignment horizontal="center"/>
    </xf>
    <xf numFmtId="0" fontId="23" fillId="0" borderId="0" xfId="0" applyFont="1"/>
    <xf numFmtId="0" fontId="36" fillId="10" borderId="18" xfId="0" applyFont="1" applyFill="1" applyBorder="1"/>
    <xf numFmtId="0" fontId="16" fillId="10" borderId="25" xfId="0" applyFont="1" applyFill="1" applyBorder="1"/>
    <xf numFmtId="0" fontId="16" fillId="0" borderId="0" xfId="0" applyFont="1" applyAlignment="1">
      <alignment horizontal="left"/>
    </xf>
    <xf numFmtId="0" fontId="37" fillId="10" borderId="10" xfId="0" applyFont="1" applyFill="1" applyBorder="1"/>
    <xf numFmtId="0" fontId="37" fillId="10" borderId="11" xfId="0" applyFont="1" applyFill="1" applyBorder="1" applyAlignment="1">
      <alignment horizontal="right"/>
    </xf>
    <xf numFmtId="0" fontId="40" fillId="0" borderId="0" xfId="0" applyFont="1"/>
    <xf numFmtId="0" fontId="23" fillId="9" borderId="37" xfId="0" applyFont="1" applyFill="1" applyBorder="1"/>
    <xf numFmtId="0" fontId="23" fillId="9" borderId="86" xfId="0" applyFont="1" applyFill="1" applyBorder="1"/>
    <xf numFmtId="0" fontId="23" fillId="9" borderId="87" xfId="0" applyFont="1" applyFill="1" applyBorder="1"/>
    <xf numFmtId="0" fontId="16" fillId="11" borderId="86" xfId="0" applyFont="1" applyFill="1" applyBorder="1" applyAlignment="1">
      <alignment horizontal="left"/>
    </xf>
    <xf numFmtId="0" fontId="16" fillId="11" borderId="37" xfId="0" applyFont="1" applyFill="1" applyBorder="1" applyAlignment="1">
      <alignment horizontal="left"/>
    </xf>
    <xf numFmtId="0" fontId="16" fillId="11" borderId="87" xfId="0" applyFont="1" applyFill="1" applyBorder="1" applyAlignment="1">
      <alignment horizontal="left"/>
    </xf>
    <xf numFmtId="0" fontId="16" fillId="11" borderId="97" xfId="0" applyFont="1" applyFill="1" applyBorder="1" applyAlignment="1">
      <alignment horizontal="left"/>
    </xf>
    <xf numFmtId="0" fontId="16" fillId="11" borderId="90" xfId="0" applyFont="1" applyFill="1" applyBorder="1" applyAlignment="1">
      <alignment horizontal="left"/>
    </xf>
    <xf numFmtId="0" fontId="16" fillId="11" borderId="91" xfId="0" applyFont="1" applyFill="1" applyBorder="1" applyAlignment="1">
      <alignment horizontal="left"/>
    </xf>
    <xf numFmtId="0" fontId="25" fillId="16" borderId="98" xfId="0" applyFont="1" applyFill="1" applyBorder="1" applyAlignment="1">
      <alignment horizontal="center" vertical="center" wrapText="1"/>
    </xf>
    <xf numFmtId="0" fontId="20" fillId="0" borderId="0" xfId="0" applyFont="1" applyAlignment="1">
      <alignment wrapText="1"/>
    </xf>
    <xf numFmtId="0" fontId="34" fillId="0" borderId="28" xfId="0" applyFont="1" applyBorder="1"/>
    <xf numFmtId="0" fontId="34" fillId="0" borderId="27" xfId="0" applyFont="1" applyBorder="1"/>
    <xf numFmtId="0" fontId="34" fillId="0" borderId="26" xfId="0" applyFont="1" applyBorder="1"/>
    <xf numFmtId="0" fontId="34" fillId="7" borderId="99" xfId="0" applyFont="1" applyFill="1" applyBorder="1"/>
    <xf numFmtId="0" fontId="34" fillId="7" borderId="100" xfId="0" applyFont="1" applyFill="1" applyBorder="1"/>
    <xf numFmtId="0" fontId="20" fillId="7" borderId="101" xfId="0" applyFont="1" applyFill="1" applyBorder="1" applyAlignment="1">
      <alignment wrapText="1"/>
    </xf>
    <xf numFmtId="0" fontId="34" fillId="0" borderId="15" xfId="0" applyFont="1" applyBorder="1"/>
    <xf numFmtId="0" fontId="34" fillId="0" borderId="14" xfId="0" applyFont="1" applyBorder="1"/>
    <xf numFmtId="0" fontId="34" fillId="7" borderId="102" xfId="0" applyFont="1" applyFill="1" applyBorder="1"/>
    <xf numFmtId="0" fontId="34" fillId="7" borderId="37" xfId="0" applyFont="1" applyFill="1" applyBorder="1"/>
    <xf numFmtId="0" fontId="20" fillId="7" borderId="103" xfId="0" applyFont="1" applyFill="1" applyBorder="1" applyAlignment="1">
      <alignment wrapText="1"/>
    </xf>
    <xf numFmtId="0" fontId="35" fillId="0" borderId="0" xfId="0" applyFont="1"/>
    <xf numFmtId="0" fontId="20" fillId="0" borderId="0" xfId="0" applyFont="1"/>
    <xf numFmtId="0" fontId="20" fillId="7" borderId="104" xfId="0" applyFont="1" applyFill="1" applyBorder="1"/>
    <xf numFmtId="0" fontId="20" fillId="7" borderId="105" xfId="0" applyFont="1" applyFill="1" applyBorder="1"/>
    <xf numFmtId="0" fontId="20" fillId="7" borderId="106" xfId="0" applyFont="1" applyFill="1" applyBorder="1"/>
    <xf numFmtId="0" fontId="20" fillId="7" borderId="107" xfId="0" applyFont="1" applyFill="1" applyBorder="1" applyAlignment="1">
      <alignment horizontal="center"/>
    </xf>
    <xf numFmtId="0" fontId="20" fillId="7" borderId="108" xfId="0" applyFont="1" applyFill="1" applyBorder="1" applyAlignment="1">
      <alignment horizontal="center"/>
    </xf>
    <xf numFmtId="0" fontId="20" fillId="7" borderId="109" xfId="0" applyFont="1" applyFill="1" applyBorder="1"/>
    <xf numFmtId="0" fontId="40" fillId="21" borderId="17" xfId="0" applyFont="1" applyFill="1" applyBorder="1"/>
    <xf numFmtId="0" fontId="34" fillId="22" borderId="18" xfId="0" applyFont="1" applyFill="1" applyBorder="1"/>
    <xf numFmtId="0" fontId="40" fillId="23" borderId="18" xfId="0" applyFont="1" applyFill="1" applyBorder="1"/>
    <xf numFmtId="0" fontId="34" fillId="24" borderId="18" xfId="0" applyFont="1" applyFill="1" applyBorder="1"/>
    <xf numFmtId="165" fontId="34" fillId="25" borderId="40" xfId="0" applyNumberFormat="1" applyFont="1" applyFill="1" applyBorder="1"/>
    <xf numFmtId="0" fontId="34" fillId="7" borderId="18" xfId="0" applyFont="1" applyFill="1" applyBorder="1"/>
    <xf numFmtId="0" fontId="34" fillId="0" borderId="110" xfId="0" applyFont="1" applyBorder="1"/>
    <xf numFmtId="165" fontId="34" fillId="26" borderId="40" xfId="0" applyNumberFormat="1" applyFont="1" applyFill="1" applyBorder="1"/>
    <xf numFmtId="165" fontId="34" fillId="25" borderId="18" xfId="0" applyNumberFormat="1" applyFont="1" applyFill="1" applyBorder="1"/>
    <xf numFmtId="0" fontId="34" fillId="0" borderId="16" xfId="0" applyFont="1" applyBorder="1"/>
    <xf numFmtId="165" fontId="34" fillId="26" borderId="18" xfId="0" applyNumberFormat="1" applyFont="1" applyFill="1" applyBorder="1"/>
    <xf numFmtId="0" fontId="20" fillId="7" borderId="17" xfId="0" applyFont="1" applyFill="1" applyBorder="1" applyAlignment="1">
      <alignment horizontal="center" wrapText="1"/>
    </xf>
    <xf numFmtId="0" fontId="20" fillId="7" borderId="18" xfId="0" applyFont="1" applyFill="1" applyBorder="1" applyAlignment="1">
      <alignment horizontal="center" wrapText="1"/>
    </xf>
    <xf numFmtId="0" fontId="20" fillId="0" borderId="18" xfId="0" applyFont="1" applyBorder="1" applyAlignment="1">
      <alignment horizontal="center"/>
    </xf>
    <xf numFmtId="0" fontId="20" fillId="0" borderId="16" xfId="0" applyFont="1" applyBorder="1" applyAlignment="1">
      <alignment horizontal="center"/>
    </xf>
    <xf numFmtId="165" fontId="34" fillId="27" borderId="18" xfId="0" applyNumberFormat="1" applyFont="1" applyFill="1" applyBorder="1"/>
    <xf numFmtId="0" fontId="34" fillId="0" borderId="3" xfId="0" applyFont="1" applyBorder="1"/>
    <xf numFmtId="0" fontId="34" fillId="0" borderId="2" xfId="0" applyFont="1" applyBorder="1"/>
    <xf numFmtId="0" fontId="34" fillId="0" borderId="1" xfId="0" applyFont="1" applyBorder="1"/>
    <xf numFmtId="0" fontId="25" fillId="0" borderId="51" xfId="0" applyFont="1" applyBorder="1" applyAlignment="1">
      <alignment horizontal="center" vertical="center" wrapText="1"/>
    </xf>
    <xf numFmtId="0" fontId="25" fillId="0" borderId="61" xfId="0" applyFont="1" applyBorder="1" applyAlignment="1">
      <alignment horizontal="center" vertical="center" wrapText="1"/>
    </xf>
    <xf numFmtId="0" fontId="0" fillId="0" borderId="65" xfId="0" applyBorder="1"/>
    <xf numFmtId="0" fontId="0" fillId="0" borderId="37" xfId="0" applyBorder="1"/>
    <xf numFmtId="0" fontId="0" fillId="0" borderId="81" xfId="0" applyBorder="1"/>
    <xf numFmtId="0" fontId="0" fillId="0" borderId="111" xfId="0" applyBorder="1"/>
    <xf numFmtId="0" fontId="25" fillId="17" borderId="68" xfId="0" applyFont="1" applyFill="1" applyBorder="1" applyAlignment="1">
      <alignment horizontal="center" vertical="center" wrapText="1"/>
    </xf>
    <xf numFmtId="0" fontId="25" fillId="17" borderId="69" xfId="0" applyFont="1" applyFill="1" applyBorder="1" applyAlignment="1">
      <alignment horizontal="center" vertical="center" wrapText="1"/>
    </xf>
    <xf numFmtId="0" fontId="25" fillId="18" borderId="68" xfId="0" applyFont="1" applyFill="1" applyBorder="1" applyAlignment="1">
      <alignment horizontal="center" vertical="center" wrapText="1"/>
    </xf>
    <xf numFmtId="0" fontId="25" fillId="18" borderId="69" xfId="0" applyFont="1" applyFill="1" applyBorder="1" applyAlignment="1">
      <alignment horizontal="center" vertical="center" wrapText="1"/>
    </xf>
    <xf numFmtId="0" fontId="27" fillId="19" borderId="68" xfId="0" applyFont="1" applyFill="1" applyBorder="1" applyAlignment="1">
      <alignment horizontal="center" vertical="center" wrapText="1"/>
    </xf>
    <xf numFmtId="0" fontId="25" fillId="29" borderId="68" xfId="0" applyFont="1" applyFill="1" applyBorder="1" applyAlignment="1">
      <alignment horizontal="center" vertical="center" wrapText="1"/>
    </xf>
    <xf numFmtId="0" fontId="25" fillId="29" borderId="69" xfId="0" applyFont="1" applyFill="1" applyBorder="1" applyAlignment="1">
      <alignment horizontal="center" vertical="center" wrapText="1"/>
    </xf>
    <xf numFmtId="0" fontId="25" fillId="28" borderId="51" xfId="0" applyFont="1" applyFill="1" applyBorder="1" applyAlignment="1">
      <alignment horizontal="center" vertical="center" wrapText="1"/>
    </xf>
    <xf numFmtId="0" fontId="25" fillId="30" borderId="61" xfId="0" applyFont="1" applyFill="1" applyBorder="1" applyAlignment="1">
      <alignment horizontal="center" vertical="center" wrapText="1"/>
    </xf>
    <xf numFmtId="0" fontId="8" fillId="31" borderId="113" xfId="0" applyFont="1" applyFill="1" applyBorder="1"/>
    <xf numFmtId="0" fontId="34" fillId="0" borderId="0" xfId="0" applyFont="1"/>
    <xf numFmtId="0" fontId="45" fillId="16" borderId="70" xfId="0" applyFont="1" applyFill="1" applyBorder="1" applyAlignment="1">
      <alignment horizontal="center" vertical="center" wrapText="1"/>
    </xf>
    <xf numFmtId="0" fontId="45" fillId="16" borderId="77" xfId="0" applyFont="1" applyFill="1" applyBorder="1" applyAlignment="1">
      <alignment horizontal="center" vertical="center" wrapText="1"/>
    </xf>
    <xf numFmtId="0" fontId="25" fillId="16" borderId="61" xfId="0" applyFont="1" applyFill="1" applyBorder="1" applyAlignment="1">
      <alignment horizontal="center" vertical="center" wrapText="1"/>
    </xf>
    <xf numFmtId="0" fontId="20" fillId="7" borderId="31" xfId="0" applyFont="1" applyFill="1" applyBorder="1" applyAlignment="1">
      <alignment horizontal="center" wrapText="1"/>
    </xf>
    <xf numFmtId="2" fontId="0" fillId="0" borderId="0" xfId="0" applyNumberFormat="1"/>
    <xf numFmtId="0" fontId="20" fillId="3" borderId="23" xfId="0" applyFont="1" applyFill="1" applyBorder="1" applyAlignment="1">
      <alignment vertical="top" wrapText="1"/>
    </xf>
    <xf numFmtId="0" fontId="50" fillId="0" borderId="1" xfId="0" applyFont="1" applyBorder="1" applyAlignment="1">
      <alignment horizontal="left" vertical="top" wrapText="1"/>
    </xf>
    <xf numFmtId="0" fontId="20" fillId="3" borderId="26" xfId="0" applyFont="1" applyFill="1" applyBorder="1"/>
    <xf numFmtId="0" fontId="8" fillId="3" borderId="27" xfId="0" applyFont="1" applyFill="1" applyBorder="1"/>
    <xf numFmtId="0" fontId="8" fillId="3" borderId="28" xfId="0" applyFont="1" applyFill="1" applyBorder="1"/>
    <xf numFmtId="0" fontId="55" fillId="0" borderId="18" xfId="0" applyFont="1" applyBorder="1" applyAlignment="1">
      <alignment horizontal="center" vertical="center"/>
    </xf>
    <xf numFmtId="0" fontId="33" fillId="0" borderId="37" xfId="0" applyFont="1" applyBorder="1" applyAlignment="1">
      <alignment horizontal="left" vertical="center"/>
    </xf>
    <xf numFmtId="0" fontId="6" fillId="3" borderId="114" xfId="0" applyFont="1" applyFill="1" applyBorder="1" applyAlignment="1">
      <alignment vertical="top" wrapText="1"/>
    </xf>
    <xf numFmtId="0" fontId="8" fillId="0" borderId="18" xfId="0" applyFont="1" applyBorder="1" applyAlignment="1">
      <alignment horizontal="right" vertical="center"/>
    </xf>
    <xf numFmtId="0" fontId="54" fillId="0" borderId="115" xfId="0" applyFont="1" applyBorder="1" applyAlignment="1">
      <alignment horizontal="center" vertical="center"/>
    </xf>
    <xf numFmtId="0" fontId="53" fillId="0" borderId="24" xfId="0" applyFont="1" applyBorder="1" applyAlignment="1">
      <alignment horizontal="center" vertical="center"/>
    </xf>
    <xf numFmtId="0" fontId="53" fillId="0" borderId="36" xfId="0" applyFont="1" applyBorder="1" applyAlignment="1">
      <alignment horizontal="center" vertical="center"/>
    </xf>
    <xf numFmtId="0" fontId="53" fillId="0" borderId="41" xfId="0" applyFont="1" applyBorder="1" applyAlignment="1">
      <alignment horizontal="center" vertical="center"/>
    </xf>
    <xf numFmtId="0" fontId="53" fillId="0" borderId="17" xfId="0" applyFont="1" applyBorder="1" applyAlignment="1">
      <alignment horizontal="center" vertical="center"/>
    </xf>
    <xf numFmtId="0" fontId="53" fillId="0" borderId="8" xfId="0" applyFont="1" applyBorder="1" applyAlignment="1">
      <alignment horizontal="center" vertical="center"/>
    </xf>
    <xf numFmtId="0" fontId="53" fillId="0" borderId="19" xfId="0" applyFont="1" applyBorder="1" applyAlignment="1">
      <alignment horizontal="center" vertical="center"/>
    </xf>
    <xf numFmtId="0" fontId="20" fillId="3" borderId="11" xfId="0" applyFont="1" applyFill="1" applyBorder="1" applyAlignment="1">
      <alignment vertical="top" wrapText="1"/>
    </xf>
    <xf numFmtId="0" fontId="52" fillId="0" borderId="0" xfId="0" applyFont="1"/>
    <xf numFmtId="0" fontId="6" fillId="3" borderId="11" xfId="0" applyFont="1" applyFill="1" applyBorder="1" applyAlignment="1">
      <alignment vertical="top" wrapText="1"/>
    </xf>
    <xf numFmtId="0" fontId="20" fillId="3" borderId="14" xfId="0" applyFont="1" applyFill="1" applyBorder="1"/>
    <xf numFmtId="0" fontId="8" fillId="3" borderId="0" xfId="0" applyFont="1" applyFill="1"/>
    <xf numFmtId="0" fontId="20" fillId="3" borderId="114" xfId="3" applyFont="1" applyFill="1" applyBorder="1" applyAlignment="1">
      <alignment vertical="top" wrapText="1"/>
    </xf>
    <xf numFmtId="0" fontId="20" fillId="3" borderId="23" xfId="3" applyFont="1" applyFill="1" applyBorder="1" applyAlignment="1">
      <alignment vertical="top" wrapText="1"/>
    </xf>
    <xf numFmtId="0" fontId="24" fillId="3" borderId="26" xfId="3" applyFont="1" applyFill="1" applyBorder="1"/>
    <xf numFmtId="0" fontId="17" fillId="3" borderId="27" xfId="3" applyFill="1" applyBorder="1"/>
    <xf numFmtId="0" fontId="34" fillId="3" borderId="27" xfId="3" applyFont="1" applyFill="1" applyBorder="1"/>
    <xf numFmtId="0" fontId="34" fillId="3" borderId="28" xfId="3" applyFont="1" applyFill="1" applyBorder="1"/>
    <xf numFmtId="0" fontId="50" fillId="0" borderId="1" xfId="3" applyFont="1" applyBorder="1" applyAlignment="1">
      <alignment horizontal="left" vertical="top" wrapText="1"/>
    </xf>
    <xf numFmtId="0" fontId="53" fillId="0" borderId="18" xfId="0" applyFont="1" applyBorder="1" applyAlignment="1">
      <alignment horizontal="center" vertical="center"/>
    </xf>
    <xf numFmtId="0" fontId="6" fillId="7" borderId="17" xfId="0" applyFont="1" applyFill="1" applyBorder="1" applyAlignment="1">
      <alignment horizontal="center" wrapText="1"/>
    </xf>
    <xf numFmtId="0" fontId="60" fillId="0" borderId="18" xfId="0" applyFont="1" applyBorder="1" applyAlignment="1">
      <alignment horizontal="center" wrapText="1"/>
    </xf>
    <xf numFmtId="0" fontId="34" fillId="3" borderId="14" xfId="0" applyFont="1" applyFill="1" applyBorder="1"/>
    <xf numFmtId="0" fontId="34" fillId="3" borderId="0" xfId="0" applyFont="1" applyFill="1"/>
    <xf numFmtId="0" fontId="34" fillId="3" borderId="27" xfId="0" applyFont="1" applyFill="1" applyBorder="1"/>
    <xf numFmtId="0" fontId="34" fillId="3" borderId="28" xfId="0" applyFont="1" applyFill="1" applyBorder="1"/>
    <xf numFmtId="0" fontId="21" fillId="4" borderId="6" xfId="0" applyFont="1" applyFill="1" applyBorder="1" applyAlignment="1">
      <alignment vertical="top" wrapText="1"/>
    </xf>
    <xf numFmtId="0" fontId="20" fillId="3" borderId="123" xfId="0" applyFont="1" applyFill="1" applyBorder="1" applyAlignment="1">
      <alignment vertical="top" wrapText="1"/>
    </xf>
    <xf numFmtId="0" fontId="20" fillId="7" borderId="123" xfId="0" applyFont="1" applyFill="1" applyBorder="1" applyAlignment="1">
      <alignment vertical="top"/>
    </xf>
    <xf numFmtId="0" fontId="21" fillId="0" borderId="123" xfId="0" applyFont="1" applyBorder="1" applyAlignment="1">
      <alignment vertical="top" wrapText="1"/>
    </xf>
    <xf numFmtId="0" fontId="61" fillId="0" borderId="1" xfId="0" applyFont="1" applyBorder="1" applyAlignment="1">
      <alignment horizontal="right" vertical="top"/>
    </xf>
    <xf numFmtId="0" fontId="61" fillId="0" borderId="1" xfId="0" applyFont="1" applyBorder="1" applyAlignment="1">
      <alignment horizontal="right" vertical="top" wrapText="1"/>
    </xf>
    <xf numFmtId="0" fontId="6" fillId="3" borderId="124" xfId="0" applyFont="1" applyFill="1" applyBorder="1" applyAlignment="1">
      <alignment vertical="top" wrapText="1"/>
    </xf>
    <xf numFmtId="0" fontId="7" fillId="0" borderId="124" xfId="0" applyFont="1" applyBorder="1" applyAlignment="1">
      <alignment vertical="top" wrapText="1"/>
    </xf>
    <xf numFmtId="0" fontId="6" fillId="7" borderId="124" xfId="0" applyFont="1" applyFill="1" applyBorder="1" applyAlignment="1">
      <alignment vertical="top"/>
    </xf>
    <xf numFmtId="0" fontId="6" fillId="0" borderId="82" xfId="3" applyFont="1" applyBorder="1"/>
    <xf numFmtId="0" fontId="28" fillId="0" borderId="0" xfId="0" applyFont="1" applyAlignment="1">
      <alignment horizontal="left" vertical="center" wrapText="1"/>
    </xf>
    <xf numFmtId="0" fontId="8" fillId="0" borderId="113" xfId="0" applyFont="1" applyBorder="1"/>
    <xf numFmtId="0" fontId="65" fillId="0" borderId="126" xfId="0" applyFont="1" applyBorder="1" applyAlignment="1">
      <alignment horizontal="left" vertical="center" wrapText="1"/>
    </xf>
    <xf numFmtId="0" fontId="64" fillId="0" borderId="127" xfId="0" applyFont="1" applyBorder="1" applyAlignment="1">
      <alignment horizontal="center" vertical="center" wrapText="1"/>
    </xf>
    <xf numFmtId="0" fontId="64" fillId="0" borderId="128" xfId="0" applyFont="1" applyBorder="1" applyAlignment="1">
      <alignment horizontal="center" vertical="center" wrapText="1"/>
    </xf>
    <xf numFmtId="0" fontId="64" fillId="0" borderId="129" xfId="0" applyFont="1" applyBorder="1" applyAlignment="1">
      <alignment horizontal="center" vertical="center" wrapText="1"/>
    </xf>
    <xf numFmtId="0" fontId="64" fillId="0" borderId="130" xfId="0" applyFont="1" applyBorder="1" applyAlignment="1">
      <alignment horizontal="left" vertical="center" wrapText="1"/>
    </xf>
    <xf numFmtId="0" fontId="65" fillId="0" borderId="131" xfId="0" applyFont="1" applyBorder="1" applyAlignment="1">
      <alignment horizontal="left" vertical="center" wrapText="1"/>
    </xf>
    <xf numFmtId="0" fontId="64" fillId="0" borderId="132" xfId="0" applyFont="1" applyBorder="1" applyAlignment="1">
      <alignment horizontal="left" vertical="center" wrapText="1"/>
    </xf>
    <xf numFmtId="0" fontId="65" fillId="0" borderId="133" xfId="0" applyFont="1" applyBorder="1" applyAlignment="1">
      <alignment horizontal="left" vertical="center" wrapText="1"/>
    </xf>
    <xf numFmtId="0" fontId="65" fillId="0" borderId="134" xfId="0" applyFont="1" applyBorder="1" applyAlignment="1">
      <alignment horizontal="left" vertical="center" wrapText="1"/>
    </xf>
    <xf numFmtId="0" fontId="65" fillId="0" borderId="0" xfId="0" applyFont="1" applyAlignment="1">
      <alignment horizontal="left" vertical="center" wrapText="1"/>
    </xf>
    <xf numFmtId="0" fontId="2" fillId="31" borderId="112" xfId="0" applyFont="1" applyFill="1" applyBorder="1" applyAlignment="1">
      <alignment horizontal="center" vertical="center"/>
    </xf>
    <xf numFmtId="0" fontId="42" fillId="0" borderId="37" xfId="0" applyFont="1" applyBorder="1" applyAlignment="1">
      <alignment horizontal="center" vertical="center" wrapText="1"/>
    </xf>
    <xf numFmtId="0" fontId="42" fillId="0" borderId="81" xfId="0" applyFont="1" applyBorder="1" applyAlignment="1">
      <alignment horizontal="center" vertical="center" wrapText="1"/>
    </xf>
    <xf numFmtId="0" fontId="17" fillId="0" borderId="37" xfId="0" applyFont="1" applyBorder="1" applyAlignment="1">
      <alignment wrapText="1"/>
    </xf>
    <xf numFmtId="0" fontId="17" fillId="0" borderId="81" xfId="0" applyFont="1" applyBorder="1" applyAlignment="1">
      <alignment wrapText="1"/>
    </xf>
    <xf numFmtId="0" fontId="1" fillId="31" borderId="112" xfId="0" applyFont="1" applyFill="1" applyBorder="1" applyAlignment="1">
      <alignment horizontal="center" vertical="center"/>
    </xf>
    <xf numFmtId="0" fontId="54" fillId="0" borderId="137" xfId="0" applyFont="1" applyBorder="1" applyAlignment="1">
      <alignment horizontal="center" vertical="center"/>
    </xf>
    <xf numFmtId="0" fontId="28" fillId="0" borderId="71" xfId="0" applyFont="1" applyBorder="1" applyAlignment="1">
      <alignment horizontal="center" vertical="center" wrapText="1"/>
    </xf>
    <xf numFmtId="0" fontId="28" fillId="0" borderId="72" xfId="0" applyFont="1" applyBorder="1" applyAlignment="1">
      <alignment horizontal="center" vertical="center" wrapText="1"/>
    </xf>
    <xf numFmtId="0" fontId="28" fillId="0" borderId="75" xfId="0" applyFont="1" applyBorder="1" applyAlignment="1">
      <alignment horizontal="center" vertical="center" wrapText="1"/>
    </xf>
    <xf numFmtId="0" fontId="28" fillId="0" borderId="83" xfId="0" applyFont="1" applyBorder="1" applyAlignment="1">
      <alignment horizontal="center" vertical="center" wrapText="1"/>
    </xf>
    <xf numFmtId="0" fontId="28" fillId="0" borderId="0" xfId="0" applyFont="1" applyAlignment="1">
      <alignment horizontal="center" vertical="center" wrapText="1"/>
    </xf>
    <xf numFmtId="0" fontId="28" fillId="0" borderId="84" xfId="0" applyFont="1" applyBorder="1" applyAlignment="1">
      <alignment horizontal="center" vertical="center" wrapText="1"/>
    </xf>
    <xf numFmtId="0" fontId="28" fillId="0" borderId="73" xfId="0" applyFont="1" applyBorder="1" applyAlignment="1">
      <alignment horizontal="center" vertical="center" wrapText="1"/>
    </xf>
    <xf numFmtId="0" fontId="28" fillId="0" borderId="70" xfId="0" applyFont="1" applyBorder="1" applyAlignment="1">
      <alignment horizontal="center" vertical="center" wrapText="1"/>
    </xf>
    <xf numFmtId="0" fontId="28" fillId="0" borderId="50" xfId="0" applyFont="1" applyBorder="1" applyAlignment="1">
      <alignment horizontal="center" vertical="center" wrapText="1"/>
    </xf>
    <xf numFmtId="0" fontId="24" fillId="20" borderId="71" xfId="0" applyFont="1" applyFill="1" applyBorder="1" applyAlignment="1">
      <alignment horizontal="center" vertical="center" wrapText="1"/>
    </xf>
    <xf numFmtId="0" fontId="24" fillId="20" borderId="75" xfId="0" applyFont="1" applyFill="1" applyBorder="1" applyAlignment="1">
      <alignment horizontal="center" vertical="center" wrapText="1"/>
    </xf>
    <xf numFmtId="0" fontId="24" fillId="20" borderId="83" xfId="0" applyFont="1" applyFill="1" applyBorder="1" applyAlignment="1">
      <alignment horizontal="center" vertical="center" wrapText="1"/>
    </xf>
    <xf numFmtId="0" fontId="24" fillId="20" borderId="84" xfId="0" applyFont="1" applyFill="1" applyBorder="1" applyAlignment="1">
      <alignment horizontal="center" vertical="center" wrapText="1"/>
    </xf>
    <xf numFmtId="0" fontId="24" fillId="20" borderId="73" xfId="0" applyFont="1" applyFill="1" applyBorder="1" applyAlignment="1">
      <alignment horizontal="center" vertical="center" wrapText="1"/>
    </xf>
    <xf numFmtId="0" fontId="24" fillId="20" borderId="50" xfId="0" applyFont="1" applyFill="1" applyBorder="1" applyAlignment="1">
      <alignment horizontal="center" vertical="center" wrapText="1"/>
    </xf>
    <xf numFmtId="0" fontId="29" fillId="16" borderId="71" xfId="2" applyFill="1" applyBorder="1" applyAlignment="1">
      <alignment horizontal="center" vertical="center" wrapText="1"/>
    </xf>
    <xf numFmtId="0" fontId="29" fillId="16" borderId="72" xfId="2" applyFill="1" applyBorder="1" applyAlignment="1">
      <alignment horizontal="center" vertical="center" wrapText="1"/>
    </xf>
    <xf numFmtId="0" fontId="29" fillId="16" borderId="75" xfId="2" applyFill="1" applyBorder="1" applyAlignment="1">
      <alignment horizontal="center" vertical="center" wrapText="1"/>
    </xf>
    <xf numFmtId="0" fontId="29" fillId="16" borderId="83" xfId="2" applyFill="1" applyBorder="1" applyAlignment="1">
      <alignment horizontal="center" vertical="center" wrapText="1"/>
    </xf>
    <xf numFmtId="0" fontId="29" fillId="16" borderId="0" xfId="2" applyFill="1" applyBorder="1" applyAlignment="1">
      <alignment horizontal="center" vertical="center" wrapText="1"/>
    </xf>
    <xf numFmtId="0" fontId="29" fillId="16" borderId="84" xfId="2" applyFill="1" applyBorder="1" applyAlignment="1">
      <alignment horizontal="center" vertical="center" wrapText="1"/>
    </xf>
    <xf numFmtId="0" fontId="29" fillId="16" borderId="73" xfId="2" applyFill="1" applyBorder="1" applyAlignment="1">
      <alignment horizontal="center" vertical="center" wrapText="1"/>
    </xf>
    <xf numFmtId="0" fontId="29" fillId="16" borderId="70" xfId="2" applyFill="1" applyBorder="1" applyAlignment="1">
      <alignment horizontal="center" vertical="center" wrapText="1"/>
    </xf>
    <xf numFmtId="0" fontId="29" fillId="16" borderId="50" xfId="2" applyFill="1" applyBorder="1" applyAlignment="1">
      <alignment horizontal="center" vertical="center" wrapText="1"/>
    </xf>
    <xf numFmtId="0" fontId="28" fillId="16" borderId="135" xfId="0" applyFont="1" applyFill="1" applyBorder="1" applyAlignment="1">
      <alignment horizontal="center" vertical="center" wrapText="1"/>
    </xf>
    <xf numFmtId="0" fontId="28" fillId="16" borderId="0" xfId="0" applyFont="1" applyFill="1" applyAlignment="1">
      <alignment horizontal="center" vertical="center" wrapText="1"/>
    </xf>
    <xf numFmtId="0" fontId="28" fillId="16" borderId="77" xfId="0" applyFont="1" applyFill="1" applyBorder="1" applyAlignment="1">
      <alignment horizontal="center" vertical="center" wrapText="1"/>
    </xf>
    <xf numFmtId="0" fontId="28" fillId="16" borderId="70" xfId="0" applyFont="1" applyFill="1" applyBorder="1" applyAlignment="1">
      <alignment horizontal="center" vertical="center" wrapText="1"/>
    </xf>
    <xf numFmtId="0" fontId="45" fillId="16" borderId="135" xfId="0" applyFont="1" applyFill="1" applyBorder="1" applyAlignment="1">
      <alignment horizontal="center" vertical="center" wrapText="1"/>
    </xf>
    <xf numFmtId="0" fontId="67" fillId="20" borderId="71" xfId="0" applyFont="1" applyFill="1" applyBorder="1" applyAlignment="1">
      <alignment horizontal="center" vertical="center" wrapText="1"/>
    </xf>
    <xf numFmtId="0" fontId="67" fillId="20" borderId="79" xfId="0" applyFont="1" applyFill="1" applyBorder="1" applyAlignment="1">
      <alignment horizontal="center" vertical="center" wrapText="1"/>
    </xf>
    <xf numFmtId="0" fontId="67" fillId="20" borderId="83" xfId="0" applyFont="1" applyFill="1" applyBorder="1" applyAlignment="1">
      <alignment horizontal="center" vertical="center" wrapText="1"/>
    </xf>
    <xf numFmtId="0" fontId="67" fillId="20" borderId="136" xfId="0" applyFont="1" applyFill="1" applyBorder="1" applyAlignment="1">
      <alignment horizontal="center" vertical="center" wrapText="1"/>
    </xf>
    <xf numFmtId="0" fontId="67" fillId="20" borderId="73" xfId="0" applyFont="1" applyFill="1" applyBorder="1" applyAlignment="1">
      <alignment horizontal="center" vertical="center" wrapText="1"/>
    </xf>
    <xf numFmtId="0" fontId="67" fillId="20" borderId="80" xfId="0" applyFont="1" applyFill="1" applyBorder="1" applyAlignment="1">
      <alignment horizontal="center" vertical="center" wrapText="1"/>
    </xf>
    <xf numFmtId="0" fontId="26" fillId="0" borderId="68" xfId="0" applyFont="1" applyBorder="1" applyAlignment="1">
      <alignment horizontal="center" vertical="center"/>
    </xf>
    <xf numFmtId="0" fontId="26" fillId="0" borderId="69" xfId="0" applyFont="1" applyBorder="1" applyAlignment="1">
      <alignment horizontal="center" vertical="center"/>
    </xf>
    <xf numFmtId="0" fontId="26" fillId="0" borderId="51" xfId="0" applyFont="1" applyBorder="1" applyAlignment="1">
      <alignment horizontal="center" vertical="center"/>
    </xf>
    <xf numFmtId="0" fontId="26" fillId="20" borderId="71" xfId="0" applyFont="1" applyFill="1" applyBorder="1" applyAlignment="1">
      <alignment horizontal="center" vertical="center" wrapText="1"/>
    </xf>
    <xf numFmtId="0" fontId="26" fillId="20" borderId="72" xfId="0" applyFont="1" applyFill="1" applyBorder="1" applyAlignment="1">
      <alignment horizontal="center" vertical="center" wrapText="1"/>
    </xf>
    <xf numFmtId="0" fontId="26" fillId="20" borderId="73" xfId="0" applyFont="1" applyFill="1" applyBorder="1" applyAlignment="1">
      <alignment horizontal="center" vertical="center" wrapText="1"/>
    </xf>
    <xf numFmtId="0" fontId="26" fillId="20" borderId="70" xfId="0" applyFont="1" applyFill="1" applyBorder="1" applyAlignment="1">
      <alignment horizontal="center" vertical="center" wrapText="1"/>
    </xf>
    <xf numFmtId="0" fontId="17" fillId="16" borderId="76" xfId="0" applyFont="1" applyFill="1" applyBorder="1" applyAlignment="1">
      <alignment horizontal="center" vertical="center" wrapText="1"/>
    </xf>
    <xf numFmtId="0" fontId="0" fillId="16" borderId="72" xfId="0" applyFill="1" applyBorder="1" applyAlignment="1">
      <alignment horizontal="center" vertical="center" wrapText="1"/>
    </xf>
    <xf numFmtId="0" fontId="0" fillId="16" borderId="75" xfId="0" applyFill="1" applyBorder="1" applyAlignment="1">
      <alignment horizontal="center" vertical="center" wrapText="1"/>
    </xf>
    <xf numFmtId="0" fontId="0" fillId="16" borderId="77" xfId="0" applyFill="1" applyBorder="1" applyAlignment="1">
      <alignment horizontal="center" vertical="center" wrapText="1"/>
    </xf>
    <xf numFmtId="0" fontId="0" fillId="16" borderId="70" xfId="0" applyFill="1" applyBorder="1" applyAlignment="1">
      <alignment horizontal="center" vertical="center" wrapText="1"/>
    </xf>
    <xf numFmtId="0" fontId="0" fillId="16" borderId="50" xfId="0" applyFill="1" applyBorder="1" applyAlignment="1">
      <alignment horizontal="center" vertical="center" wrapText="1"/>
    </xf>
    <xf numFmtId="0" fontId="26" fillId="20" borderId="71" xfId="0" applyFont="1" applyFill="1" applyBorder="1" applyAlignment="1">
      <alignment horizontal="center" vertical="center"/>
    </xf>
    <xf numFmtId="0" fontId="26" fillId="20" borderId="72" xfId="0" applyFont="1" applyFill="1" applyBorder="1" applyAlignment="1">
      <alignment horizontal="center" vertical="center"/>
    </xf>
    <xf numFmtId="0" fontId="26" fillId="20" borderId="73" xfId="0" applyFont="1" applyFill="1" applyBorder="1" applyAlignment="1">
      <alignment horizontal="center" vertical="center"/>
    </xf>
    <xf numFmtId="0" fontId="26" fillId="20" borderId="70" xfId="0" applyFont="1" applyFill="1" applyBorder="1" applyAlignment="1">
      <alignment horizontal="center" vertical="center"/>
    </xf>
    <xf numFmtId="0" fontId="8" fillId="7" borderId="55" xfId="0" applyFont="1" applyFill="1" applyBorder="1"/>
    <xf numFmtId="0" fontId="0" fillId="0" borderId="0" xfId="0"/>
    <xf numFmtId="0" fontId="0" fillId="0" borderId="15" xfId="0" applyBorder="1"/>
    <xf numFmtId="0" fontId="0" fillId="0" borderId="14" xfId="0" applyBorder="1"/>
    <xf numFmtId="0" fontId="0" fillId="0" borderId="26" xfId="0" applyBorder="1"/>
    <xf numFmtId="0" fontId="0" fillId="0" borderId="27" xfId="0" applyBorder="1"/>
    <xf numFmtId="0" fontId="0" fillId="0" borderId="28" xfId="0" applyBorder="1"/>
    <xf numFmtId="0" fontId="51" fillId="0" borderId="56" xfId="0" applyFont="1" applyBorder="1" applyAlignment="1">
      <alignment horizontal="center"/>
    </xf>
    <xf numFmtId="0" fontId="52" fillId="0" borderId="2" xfId="0" applyFont="1" applyBorder="1"/>
    <xf numFmtId="0" fontId="52" fillId="0" borderId="3" xfId="0" applyFont="1" applyBorder="1"/>
    <xf numFmtId="0" fontId="15" fillId="2" borderId="56" xfId="0" applyFont="1" applyFill="1" applyBorder="1" applyAlignment="1">
      <alignment horizontal="center"/>
    </xf>
    <xf numFmtId="0" fontId="0" fillId="0" borderId="2" xfId="0" applyBorder="1"/>
    <xf numFmtId="0" fontId="0" fillId="0" borderId="3" xfId="0" applyBorder="1"/>
    <xf numFmtId="0" fontId="22" fillId="0" borderId="57" xfId="0" applyFont="1" applyBorder="1" applyAlignment="1">
      <alignment horizontal="right"/>
    </xf>
    <xf numFmtId="0" fontId="0" fillId="0" borderId="5" xfId="0" applyBorder="1"/>
    <xf numFmtId="0" fontId="0" fillId="0" borderId="6" xfId="0" applyBorder="1"/>
    <xf numFmtId="0" fontId="5" fillId="0" borderId="8" xfId="0" applyFont="1" applyBorder="1" applyAlignment="1">
      <alignment horizontal="right"/>
    </xf>
    <xf numFmtId="0" fontId="0" fillId="0" borderId="7" xfId="0" applyBorder="1"/>
    <xf numFmtId="0" fontId="0" fillId="0" borderId="8" xfId="0" applyBorder="1"/>
    <xf numFmtId="0" fontId="23" fillId="9" borderId="58" xfId="0" applyFont="1" applyFill="1" applyBorder="1" applyAlignment="1">
      <alignment horizontal="center"/>
    </xf>
    <xf numFmtId="0" fontId="0" fillId="0" borderId="32" xfId="0" applyBorder="1"/>
    <xf numFmtId="0" fontId="0" fillId="0" borderId="41" xfId="0" applyBorder="1"/>
    <xf numFmtId="0" fontId="18" fillId="8" borderId="59" xfId="0" applyFont="1" applyFill="1" applyBorder="1" applyAlignment="1">
      <alignment horizontal="center"/>
    </xf>
    <xf numFmtId="0" fontId="0" fillId="0" borderId="21" xfId="0" applyBorder="1"/>
    <xf numFmtId="0" fontId="0" fillId="0" borderId="22" xfId="0" applyBorder="1"/>
    <xf numFmtId="0" fontId="14" fillId="0" borderId="0" xfId="0" applyFont="1" applyAlignment="1">
      <alignment horizontal="center" vertical="center"/>
    </xf>
    <xf numFmtId="0" fontId="50" fillId="0" borderId="56" xfId="0" applyFont="1" applyBorder="1" applyAlignment="1">
      <alignment horizontal="left" vertical="top" wrapText="1"/>
    </xf>
    <xf numFmtId="0" fontId="28" fillId="0" borderId="2" xfId="0" applyFont="1" applyBorder="1"/>
    <xf numFmtId="0" fontId="28" fillId="0" borderId="3" xfId="0" applyFont="1" applyBorder="1"/>
    <xf numFmtId="0" fontId="50" fillId="0" borderId="1" xfId="0" applyFont="1" applyBorder="1" applyAlignment="1">
      <alignment horizontal="left" vertical="top" wrapText="1"/>
    </xf>
    <xf numFmtId="0" fontId="50" fillId="0" borderId="2" xfId="0" applyFont="1" applyBorder="1" applyAlignment="1">
      <alignment horizontal="left" vertical="top" wrapText="1"/>
    </xf>
    <xf numFmtId="0" fontId="50" fillId="0" borderId="3" xfId="0" applyFont="1" applyBorder="1" applyAlignment="1">
      <alignment horizontal="left" vertical="top" wrapText="1"/>
    </xf>
    <xf numFmtId="0" fontId="51" fillId="0" borderId="4" xfId="0" applyFont="1" applyBorder="1" applyAlignment="1">
      <alignment horizontal="center"/>
    </xf>
    <xf numFmtId="0" fontId="51" fillId="0" borderId="5" xfId="0" applyFont="1" applyBorder="1" applyAlignment="1">
      <alignment horizontal="center"/>
    </xf>
    <xf numFmtId="0" fontId="51" fillId="0" borderId="6" xfId="0" applyFont="1" applyBorder="1" applyAlignment="1">
      <alignment horizontal="center"/>
    </xf>
    <xf numFmtId="0" fontId="8" fillId="0" borderId="0" xfId="0" applyFont="1" applyAlignment="1">
      <alignment horizontal="center" vertical="center"/>
    </xf>
    <xf numFmtId="0" fontId="51" fillId="2" borderId="56" xfId="0" applyFont="1" applyFill="1" applyBorder="1" applyAlignment="1">
      <alignment horizontal="center"/>
    </xf>
    <xf numFmtId="0" fontId="56" fillId="0" borderId="57" xfId="0" applyFont="1" applyBorder="1" applyAlignment="1">
      <alignment horizontal="right"/>
    </xf>
    <xf numFmtId="0" fontId="52" fillId="0" borderId="5" xfId="0" applyFont="1" applyBorder="1"/>
    <xf numFmtId="0" fontId="52" fillId="0" borderId="6" xfId="0" applyFont="1" applyBorder="1"/>
    <xf numFmtId="0" fontId="56" fillId="0" borderId="8" xfId="0" applyFont="1" applyBorder="1" applyAlignment="1">
      <alignment horizontal="right"/>
    </xf>
    <xf numFmtId="0" fontId="52" fillId="0" borderId="7" xfId="0" applyFont="1" applyBorder="1"/>
    <xf numFmtId="0" fontId="52" fillId="0" borderId="8" xfId="0" applyFont="1" applyBorder="1"/>
    <xf numFmtId="0" fontId="50" fillId="0" borderId="60" xfId="0" applyFont="1" applyBorder="1" applyAlignment="1">
      <alignment horizontal="left" vertical="top" wrapText="1"/>
    </xf>
    <xf numFmtId="0" fontId="28" fillId="0" borderId="53" xfId="0" applyFont="1" applyBorder="1"/>
    <xf numFmtId="0" fontId="50" fillId="0" borderId="68" xfId="0" applyFont="1" applyBorder="1" applyAlignment="1">
      <alignment horizontal="center" vertical="top" wrapText="1"/>
    </xf>
    <xf numFmtId="0" fontId="50" fillId="0" borderId="69" xfId="0" applyFont="1" applyBorder="1" applyAlignment="1">
      <alignment horizontal="center" vertical="top" wrapText="1"/>
    </xf>
    <xf numFmtId="0" fontId="50" fillId="0" borderId="51" xfId="0" applyFont="1" applyBorder="1" applyAlignment="1">
      <alignment horizontal="center" vertical="top" wrapText="1"/>
    </xf>
    <xf numFmtId="0" fontId="57" fillId="0" borderId="68" xfId="0" applyFont="1" applyBorder="1" applyAlignment="1">
      <alignment horizontal="center" vertical="top" wrapText="1"/>
    </xf>
    <xf numFmtId="0" fontId="57" fillId="0" borderId="69" xfId="0" applyFont="1" applyBorder="1" applyAlignment="1">
      <alignment horizontal="center" vertical="top" wrapText="1"/>
    </xf>
    <xf numFmtId="0" fontId="57" fillId="0" borderId="51" xfId="0" applyFont="1" applyBorder="1" applyAlignment="1">
      <alignment horizontal="center" vertical="top" wrapText="1"/>
    </xf>
    <xf numFmtId="0" fontId="50" fillId="0" borderId="61" xfId="0" applyFont="1" applyBorder="1" applyAlignment="1">
      <alignment horizontal="left" vertical="top" wrapText="1"/>
    </xf>
    <xf numFmtId="0" fontId="28" fillId="0" borderId="51" xfId="0" applyFont="1" applyBorder="1"/>
    <xf numFmtId="0" fontId="50" fillId="0" borderId="62" xfId="0" applyFont="1" applyBorder="1" applyAlignment="1">
      <alignment horizontal="left" vertical="top" wrapText="1"/>
    </xf>
    <xf numFmtId="0" fontId="28" fillId="0" borderId="5" xfId="0" applyFont="1" applyBorder="1"/>
    <xf numFmtId="0" fontId="28" fillId="0" borderId="6" xfId="0" applyFont="1" applyBorder="1"/>
    <xf numFmtId="0" fontId="50" fillId="0" borderId="5" xfId="0" applyFont="1" applyBorder="1" applyAlignment="1">
      <alignment horizontal="left" vertical="top" wrapText="1"/>
    </xf>
    <xf numFmtId="0" fontId="50" fillId="0" borderId="6" xfId="0" applyFont="1" applyBorder="1" applyAlignment="1">
      <alignment horizontal="left" vertical="top" wrapText="1"/>
    </xf>
    <xf numFmtId="0" fontId="50" fillId="0" borderId="54" xfId="0" applyFont="1" applyBorder="1" applyAlignment="1">
      <alignment horizontal="left" vertical="top" wrapText="1"/>
    </xf>
    <xf numFmtId="0" fontId="28" fillId="0" borderId="54" xfId="0" applyFont="1" applyBorder="1"/>
    <xf numFmtId="0" fontId="18" fillId="8" borderId="63" xfId="0" applyFont="1" applyFill="1" applyBorder="1" applyAlignment="1">
      <alignment horizontal="center"/>
    </xf>
    <xf numFmtId="0" fontId="0" fillId="0" borderId="42" xfId="0" applyBorder="1"/>
    <xf numFmtId="0" fontId="0" fillId="0" borderId="43" xfId="0" applyBorder="1"/>
    <xf numFmtId="0" fontId="23" fillId="9" borderId="64" xfId="0" applyFont="1" applyFill="1" applyBorder="1" applyAlignment="1">
      <alignment horizontal="center"/>
    </xf>
    <xf numFmtId="0" fontId="0" fillId="0" borderId="44" xfId="0" applyBorder="1"/>
    <xf numFmtId="0" fontId="50" fillId="0" borderId="116" xfId="0" applyFont="1" applyBorder="1" applyAlignment="1">
      <alignment horizontal="left" vertical="top" wrapText="1"/>
    </xf>
    <xf numFmtId="0" fontId="28" fillId="0" borderId="117" xfId="0" applyFont="1" applyBorder="1"/>
    <xf numFmtId="0" fontId="50" fillId="0" borderId="118" xfId="0" applyFont="1" applyBorder="1" applyAlignment="1">
      <alignment horizontal="left" vertical="top" wrapText="1"/>
    </xf>
    <xf numFmtId="0" fontId="50" fillId="0" borderId="119" xfId="0" applyFont="1" applyBorder="1" applyAlignment="1">
      <alignment horizontal="center" vertical="top" wrapText="1"/>
    </xf>
    <xf numFmtId="0" fontId="50" fillId="0" borderId="119" xfId="0" applyFont="1" applyBorder="1" applyAlignment="1">
      <alignment horizontal="left" vertical="top" wrapText="1"/>
    </xf>
    <xf numFmtId="0" fontId="57" fillId="0" borderId="120" xfId="0" applyFont="1" applyBorder="1" applyAlignment="1">
      <alignment horizontal="left" vertical="top" wrapText="1"/>
    </xf>
    <xf numFmtId="0" fontId="58" fillId="0" borderId="122" xfId="0" applyFont="1" applyBorder="1"/>
    <xf numFmtId="0" fontId="58" fillId="0" borderId="121" xfId="0" applyFont="1" applyBorder="1"/>
    <xf numFmtId="0" fontId="57" fillId="0" borderId="122" xfId="0" applyFont="1" applyBorder="1" applyAlignment="1">
      <alignment horizontal="left" vertical="top" wrapText="1"/>
    </xf>
    <xf numFmtId="0" fontId="51" fillId="0" borderId="1" xfId="0" applyFont="1" applyBorder="1" applyAlignment="1">
      <alignment horizontal="center"/>
    </xf>
    <xf numFmtId="0" fontId="0" fillId="0" borderId="52" xfId="0" applyBorder="1"/>
    <xf numFmtId="0" fontId="24" fillId="9" borderId="83" xfId="3" applyFont="1" applyFill="1" applyBorder="1" applyAlignment="1">
      <alignment horizontal="center"/>
    </xf>
    <xf numFmtId="0" fontId="24" fillId="9" borderId="0" xfId="3" applyFont="1" applyFill="1" applyAlignment="1">
      <alignment horizontal="center"/>
    </xf>
    <xf numFmtId="0" fontId="24" fillId="9" borderId="84" xfId="3" applyFont="1" applyFill="1" applyBorder="1" applyAlignment="1">
      <alignment horizontal="center"/>
    </xf>
    <xf numFmtId="0" fontId="17" fillId="0" borderId="2" xfId="3" applyBorder="1"/>
    <xf numFmtId="0" fontId="17" fillId="0" borderId="0" xfId="3"/>
    <xf numFmtId="0" fontId="51" fillId="0" borderId="56" xfId="3" applyFont="1" applyBorder="1" applyAlignment="1">
      <alignment horizontal="center"/>
    </xf>
    <xf numFmtId="0" fontId="52" fillId="0" borderId="2" xfId="3" applyFont="1" applyBorder="1"/>
    <xf numFmtId="0" fontId="52" fillId="0" borderId="3" xfId="3" applyFont="1" applyBorder="1"/>
    <xf numFmtId="0" fontId="15" fillId="2" borderId="56" xfId="3" applyFont="1" applyFill="1" applyBorder="1" applyAlignment="1">
      <alignment horizontal="center"/>
    </xf>
    <xf numFmtId="0" fontId="17" fillId="0" borderId="3" xfId="3" applyBorder="1"/>
    <xf numFmtId="0" fontId="22" fillId="0" borderId="57" xfId="3" applyFont="1" applyBorder="1" applyAlignment="1">
      <alignment horizontal="right"/>
    </xf>
    <xf numFmtId="0" fontId="17" fillId="0" borderId="5" xfId="3" applyBorder="1"/>
    <xf numFmtId="0" fontId="17" fillId="0" borderId="6" xfId="3" applyBorder="1"/>
    <xf numFmtId="0" fontId="22" fillId="0" borderId="8" xfId="3" applyFont="1" applyBorder="1" applyAlignment="1">
      <alignment horizontal="right"/>
    </xf>
    <xf numFmtId="0" fontId="17" fillId="0" borderId="7" xfId="3" applyBorder="1"/>
    <xf numFmtId="0" fontId="17" fillId="0" borderId="8" xfId="3" applyBorder="1"/>
    <xf numFmtId="0" fontId="34" fillId="7" borderId="55" xfId="3" applyFont="1" applyFill="1" applyBorder="1"/>
    <xf numFmtId="0" fontId="17" fillId="0" borderId="15" xfId="3" applyBorder="1"/>
    <xf numFmtId="0" fontId="17" fillId="0" borderId="14" xfId="3" applyBorder="1"/>
    <xf numFmtId="0" fontId="17" fillId="0" borderId="26" xfId="3" applyBorder="1"/>
    <xf numFmtId="0" fontId="17" fillId="0" borderId="27" xfId="3" applyBorder="1"/>
    <xf numFmtId="0" fontId="17" fillId="0" borderId="28" xfId="3" applyBorder="1"/>
    <xf numFmtId="0" fontId="35" fillId="0" borderId="0" xfId="3" applyFont="1" applyAlignment="1">
      <alignment horizontal="center" vertical="center"/>
    </xf>
    <xf numFmtId="0" fontId="25" fillId="8" borderId="71" xfId="3" applyFont="1" applyFill="1" applyBorder="1" applyAlignment="1">
      <alignment horizontal="center" vertical="center"/>
    </xf>
    <xf numFmtId="0" fontId="25" fillId="8" borderId="72" xfId="3" applyFont="1" applyFill="1" applyBorder="1" applyAlignment="1">
      <alignment horizontal="center" vertical="center"/>
    </xf>
    <xf numFmtId="0" fontId="25" fillId="8" borderId="75" xfId="3" applyFont="1" applyFill="1" applyBorder="1" applyAlignment="1">
      <alignment horizontal="center" vertical="center"/>
    </xf>
    <xf numFmtId="0" fontId="50" fillId="0" borderId="1" xfId="3" applyFont="1" applyBorder="1" applyAlignment="1">
      <alignment horizontal="center" vertical="top" wrapText="1"/>
    </xf>
    <xf numFmtId="0" fontId="50" fillId="0" borderId="2" xfId="3" applyFont="1" applyBorder="1" applyAlignment="1">
      <alignment horizontal="center" vertical="top" wrapText="1"/>
    </xf>
    <xf numFmtId="0" fontId="50" fillId="0" borderId="3" xfId="3" applyFont="1" applyBorder="1" applyAlignment="1">
      <alignment horizontal="center" vertical="top" wrapText="1"/>
    </xf>
    <xf numFmtId="0" fontId="46" fillId="14" borderId="14" xfId="0" applyFont="1" applyFill="1" applyBorder="1" applyAlignment="1">
      <alignment horizontal="center"/>
    </xf>
    <xf numFmtId="0" fontId="46" fillId="14" borderId="15" xfId="0" applyFont="1" applyFill="1" applyBorder="1" applyAlignment="1">
      <alignment horizontal="center"/>
    </xf>
    <xf numFmtId="0" fontId="31" fillId="16" borderId="71" xfId="2" applyFont="1" applyFill="1" applyBorder="1" applyAlignment="1">
      <alignment horizontal="center" vertical="top" wrapText="1"/>
    </xf>
    <xf numFmtId="0" fontId="29" fillId="16" borderId="75" xfId="2" applyFill="1" applyBorder="1" applyAlignment="1">
      <alignment horizontal="center" vertical="top" wrapText="1"/>
    </xf>
    <xf numFmtId="0" fontId="29" fillId="16" borderId="83" xfId="2" applyFill="1" applyBorder="1" applyAlignment="1">
      <alignment horizontal="center" vertical="top" wrapText="1"/>
    </xf>
    <xf numFmtId="0" fontId="29" fillId="16" borderId="84" xfId="2" applyFill="1" applyBorder="1" applyAlignment="1">
      <alignment horizontal="center" vertical="top" wrapText="1"/>
    </xf>
    <xf numFmtId="0" fontId="29" fillId="16" borderId="73" xfId="2" applyFill="1" applyBorder="1" applyAlignment="1">
      <alignment horizontal="center" vertical="top" wrapText="1"/>
    </xf>
    <xf numFmtId="0" fontId="29" fillId="16" borderId="50" xfId="2" applyFill="1" applyBorder="1" applyAlignment="1">
      <alignment horizontal="center" vertical="top" wrapText="1"/>
    </xf>
    <xf numFmtId="0" fontId="34" fillId="0" borderId="0" xfId="0" applyFont="1"/>
    <xf numFmtId="0" fontId="38" fillId="0" borderId="0" xfId="0" applyFont="1"/>
    <xf numFmtId="0" fontId="59" fillId="0" borderId="2" xfId="0" applyFont="1" applyBorder="1"/>
    <xf numFmtId="0" fontId="59" fillId="0" borderId="3" xfId="0" applyFont="1" applyBorder="1"/>
    <xf numFmtId="0" fontId="54" fillId="0" borderId="26" xfId="0" applyFont="1" applyBorder="1" applyAlignment="1">
      <alignment horizontal="center"/>
    </xf>
    <xf numFmtId="0" fontId="54" fillId="0" borderId="27" xfId="0" applyFont="1" applyBorder="1" applyAlignment="1">
      <alignment horizontal="center"/>
    </xf>
    <xf numFmtId="0" fontId="48" fillId="0" borderId="93" xfId="0" applyFont="1" applyBorder="1" applyAlignment="1">
      <alignment horizontal="center"/>
    </xf>
    <xf numFmtId="0" fontId="48" fillId="0" borderId="21" xfId="0" applyFont="1" applyBorder="1" applyAlignment="1">
      <alignment horizontal="center"/>
    </xf>
    <xf numFmtId="0" fontId="48" fillId="0" borderId="92" xfId="0" applyFont="1" applyBorder="1" applyAlignment="1">
      <alignment horizontal="center"/>
    </xf>
    <xf numFmtId="0" fontId="48" fillId="0" borderId="32" xfId="0" applyFont="1" applyBorder="1" applyAlignment="1">
      <alignment horizontal="center"/>
    </xf>
    <xf numFmtId="0" fontId="48" fillId="0" borderId="41" xfId="0" applyFont="1" applyBorder="1" applyAlignment="1">
      <alignment horizontal="center"/>
    </xf>
    <xf numFmtId="0" fontId="20" fillId="0" borderId="0" xfId="0" applyFont="1" applyAlignment="1">
      <alignment horizontal="center"/>
    </xf>
    <xf numFmtId="0" fontId="20" fillId="0" borderId="0" xfId="0" applyFont="1" applyAlignment="1">
      <alignment horizontal="center" wrapText="1"/>
    </xf>
    <xf numFmtId="0" fontId="48" fillId="0" borderId="22" xfId="0" applyFont="1" applyBorder="1" applyAlignment="1">
      <alignment horizontal="center"/>
    </xf>
    <xf numFmtId="0" fontId="54" fillId="0" borderId="28" xfId="0" applyFont="1" applyBorder="1" applyAlignment="1">
      <alignment horizontal="center"/>
    </xf>
    <xf numFmtId="0" fontId="41" fillId="2" borderId="93" xfId="0" applyFont="1" applyFill="1" applyBorder="1" applyAlignment="1">
      <alignment horizontal="center"/>
    </xf>
    <xf numFmtId="0" fontId="38" fillId="0" borderId="21" xfId="0" applyFont="1" applyBorder="1"/>
    <xf numFmtId="0" fontId="38" fillId="0" borderId="22" xfId="0" applyFont="1" applyBorder="1"/>
    <xf numFmtId="0" fontId="22" fillId="0" borderId="26" xfId="0" applyFont="1" applyBorder="1" applyAlignment="1">
      <alignment horizontal="right"/>
    </xf>
    <xf numFmtId="0" fontId="38" fillId="0" borderId="27" xfId="0" applyFont="1" applyBorder="1"/>
    <xf numFmtId="0" fontId="38" fillId="0" borderId="28" xfId="0" applyFont="1" applyBorder="1"/>
    <xf numFmtId="0" fontId="34" fillId="0" borderId="27" xfId="0" applyFont="1" applyBorder="1"/>
    <xf numFmtId="0" fontId="49" fillId="2" borderId="93" xfId="0" applyFont="1" applyFill="1" applyBorder="1" applyAlignment="1">
      <alignment horizontal="center"/>
    </xf>
    <xf numFmtId="0" fontId="47" fillId="0" borderId="21" xfId="0" applyFont="1" applyBorder="1"/>
    <xf numFmtId="0" fontId="47" fillId="0" borderId="22" xfId="0" applyFont="1" applyBorder="1"/>
    <xf numFmtId="0" fontId="22" fillId="0" borderId="27" xfId="0" applyFont="1" applyBorder="1" applyAlignment="1">
      <alignment horizontal="right"/>
    </xf>
    <xf numFmtId="0" fontId="18" fillId="8" borderId="94" xfId="0" applyFont="1" applyFill="1" applyBorder="1" applyAlignment="1">
      <alignment horizontal="center"/>
    </xf>
    <xf numFmtId="0" fontId="18" fillId="8" borderId="95" xfId="0" applyFont="1" applyFill="1" applyBorder="1" applyAlignment="1">
      <alignment horizontal="center"/>
    </xf>
    <xf numFmtId="0" fontId="18" fillId="8" borderId="96" xfId="0" applyFont="1" applyFill="1" applyBorder="1" applyAlignment="1">
      <alignment horizontal="center"/>
    </xf>
    <xf numFmtId="0" fontId="23" fillId="9" borderId="86" xfId="0" applyFont="1" applyFill="1" applyBorder="1" applyAlignment="1">
      <alignment horizontal="center"/>
    </xf>
    <xf numFmtId="0" fontId="23" fillId="9" borderId="37" xfId="0" applyFont="1" applyFill="1" applyBorder="1" applyAlignment="1">
      <alignment horizontal="center"/>
    </xf>
    <xf numFmtId="0" fontId="23" fillId="9" borderId="87" xfId="0" applyFont="1" applyFill="1" applyBorder="1" applyAlignment="1">
      <alignment horizontal="center"/>
    </xf>
    <xf numFmtId="0" fontId="15" fillId="2" borderId="1" xfId="0" applyFont="1" applyFill="1" applyBorder="1" applyAlignment="1">
      <alignment horizontal="center"/>
    </xf>
    <xf numFmtId="0" fontId="38" fillId="0" borderId="2" xfId="0" applyFont="1" applyBorder="1"/>
    <xf numFmtId="0" fontId="38" fillId="0" borderId="3" xfId="0" applyFont="1" applyBorder="1"/>
    <xf numFmtId="0" fontId="62" fillId="0" borderId="2" xfId="0" applyFont="1" applyBorder="1" applyAlignment="1">
      <alignment vertical="top" wrapText="1"/>
    </xf>
    <xf numFmtId="0" fontId="63" fillId="0" borderId="2" xfId="0" applyFont="1" applyBorder="1" applyAlignment="1">
      <alignment vertical="top"/>
    </xf>
    <xf numFmtId="0" fontId="63" fillId="0" borderId="3" xfId="0" applyFont="1" applyBorder="1" applyAlignment="1">
      <alignment vertical="top"/>
    </xf>
    <xf numFmtId="0" fontId="62" fillId="0" borderId="3" xfId="0" applyFont="1" applyBorder="1" applyAlignment="1">
      <alignment vertical="top" wrapText="1"/>
    </xf>
    <xf numFmtId="0" fontId="22" fillId="0" borderId="4" xfId="0" applyFont="1" applyBorder="1" applyAlignment="1">
      <alignment horizontal="right"/>
    </xf>
    <xf numFmtId="0" fontId="38" fillId="0" borderId="5" xfId="0" applyFont="1" applyBorder="1"/>
    <xf numFmtId="0" fontId="38" fillId="0" borderId="6" xfId="0" applyFont="1" applyBorder="1"/>
    <xf numFmtId="0" fontId="22" fillId="0" borderId="7" xfId="0" applyFont="1" applyBorder="1" applyAlignment="1">
      <alignment horizontal="right"/>
    </xf>
    <xf numFmtId="0" fontId="38" fillId="0" borderId="7" xfId="0" applyFont="1" applyBorder="1"/>
    <xf numFmtId="0" fontId="38" fillId="0" borderId="8" xfId="0" applyFont="1" applyBorder="1"/>
    <xf numFmtId="0" fontId="21" fillId="4" borderId="125" xfId="0" applyFont="1" applyFill="1" applyBorder="1" applyAlignment="1">
      <alignment vertical="top" wrapText="1"/>
    </xf>
    <xf numFmtId="0" fontId="21" fillId="5" borderId="4" xfId="0" applyFont="1" applyFill="1" applyBorder="1" applyAlignment="1">
      <alignment vertical="top" wrapText="1"/>
    </xf>
    <xf numFmtId="0" fontId="34" fillId="7" borderId="4" xfId="0" applyFont="1" applyFill="1" applyBorder="1" applyAlignment="1">
      <alignment horizontal="center"/>
    </xf>
    <xf numFmtId="0" fontId="34" fillId="7" borderId="5" xfId="0" applyFont="1" applyFill="1" applyBorder="1" applyAlignment="1">
      <alignment horizontal="center"/>
    </xf>
    <xf numFmtId="0" fontId="34" fillId="7" borderId="6" xfId="0" applyFont="1" applyFill="1" applyBorder="1" applyAlignment="1">
      <alignment horizontal="center"/>
    </xf>
    <xf numFmtId="0" fontId="34" fillId="7" borderId="14" xfId="0" applyFont="1" applyFill="1" applyBorder="1"/>
    <xf numFmtId="0" fontId="38" fillId="0" borderId="15" xfId="0" applyFont="1" applyBorder="1"/>
    <xf numFmtId="0" fontId="38" fillId="0" borderId="14" xfId="0" applyFont="1" applyBorder="1"/>
    <xf numFmtId="0" fontId="38" fillId="0" borderId="26" xfId="0" applyFont="1" applyBorder="1"/>
    <xf numFmtId="0" fontId="34" fillId="0" borderId="0" xfId="0" applyFont="1" applyAlignment="1">
      <alignment horizontal="center" vertical="center"/>
    </xf>
    <xf numFmtId="0" fontId="66" fillId="0" borderId="0" xfId="0" applyFont="1" applyAlignment="1">
      <alignment horizontal="center"/>
    </xf>
    <xf numFmtId="0" fontId="66" fillId="0" borderId="23" xfId="0" applyFont="1" applyBorder="1" applyAlignment="1">
      <alignment horizontal="center"/>
    </xf>
  </cellXfs>
  <cellStyles count="6">
    <cellStyle name="Hyperlink" xfId="2" builtinId="8"/>
    <cellStyle name="Hyperlink 2" xfId="4" xr:uid="{96D6C88D-218B-4FCA-918E-F4940644B400}"/>
    <cellStyle name="Normal" xfId="0" builtinId="0"/>
    <cellStyle name="Normal 2" xfId="1" xr:uid="{00000000-0005-0000-0000-000001000000}"/>
    <cellStyle name="Normal 3" xfId="3" xr:uid="{16CFA1D3-DECB-48A4-A320-4932D360DB8D}"/>
    <cellStyle name="Normal 4" xfId="5" xr:uid="{B62B01D5-DA8A-4DB8-8209-0C8C6618B6F0}"/>
  </cellStyles>
  <dxfs count="251">
    <dxf>
      <numFmt numFmtId="0" formatCode="General"/>
    </dxf>
    <dxf>
      <numFmt numFmtId="0" formatCode="General"/>
    </dxf>
    <dxf>
      <numFmt numFmtId="0" formatCode="General"/>
    </dxf>
    <dxf>
      <numFmt numFmtId="0" formatCode="General"/>
    </dxf>
    <dxf>
      <numFmt numFmtId="0" formatCode="General"/>
    </dxf>
    <dxf>
      <font>
        <b/>
        <sz val="11"/>
        <family val="2"/>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minor"/>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alignment horizontal="righ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style="thin">
          <color rgb="FF00000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style="thin">
          <color rgb="FF00000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style="thin">
          <color rgb="FF00000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style="thin">
          <color rgb="FF00000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style="thin">
          <color rgb="FF000000"/>
        </left>
        <right style="thick">
          <color rgb="FF000000"/>
        </right>
        <top style="thin">
          <color rgb="FF000000"/>
        </top>
        <bottom style="thin">
          <color rgb="FF000000"/>
        </bottom>
        <vertical/>
        <horizontal/>
      </border>
    </dxf>
    <dxf>
      <font>
        <b/>
        <i val="0"/>
        <strike val="0"/>
        <condense val="0"/>
        <extend val="0"/>
        <outline val="0"/>
        <shadow val="0"/>
        <u val="none"/>
        <vertAlign val="baseline"/>
        <sz val="11"/>
        <color theme="1"/>
        <name val="Arial"/>
        <family val="2"/>
        <scheme val="minor"/>
      </font>
      <alignment horizontal="center" vertical="center" textRotation="0" wrapText="0" indent="0" justifyLastLine="0" shrinkToFit="0" readingOrder="0"/>
      <border diagonalUp="0" diagonalDown="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2"/>
        <color theme="1"/>
        <name val="Arial"/>
        <family val="2"/>
        <scheme val="minor"/>
      </font>
      <alignment horizontal="center" vertical="center" textRotation="0" wrapText="0" indent="0" justifyLastLine="0" shrinkToFit="0" readingOrder="0"/>
      <border diagonalUp="0" diagonalDown="0">
        <left/>
        <right style="thin">
          <color indexed="64"/>
        </right>
        <top style="thin">
          <color rgb="FF000000"/>
        </top>
        <bottom style="thin">
          <color rgb="FF000000"/>
        </bottom>
        <vertical/>
        <horizontal style="thin">
          <color rgb="FF000000"/>
        </horizontal>
      </border>
    </dxf>
    <dxf>
      <border outline="0">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right style="thick">
          <color indexed="64"/>
        </right>
        <top style="thick">
          <color indexed="64"/>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style="thin">
          <color rgb="FF000000"/>
        </left>
        <right style="thick">
          <color rgb="FF000000"/>
        </right>
        <top/>
        <bottom/>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style="thin">
          <color rgb="FF000000"/>
        </left>
        <right style="thick">
          <color rgb="FF000000"/>
        </right>
        <top/>
        <bottom/>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style="thin">
          <color rgb="FF000000"/>
        </left>
        <right style="thick">
          <color rgb="FF000000"/>
        </right>
        <top/>
        <bottom/>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style="thin">
          <color rgb="FF000000"/>
        </left>
        <right style="thick">
          <color rgb="FF000000"/>
        </right>
        <top/>
        <bottom/>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style="thin">
          <color rgb="FF000000"/>
        </left>
        <right style="thick">
          <color rgb="FF000000"/>
        </right>
        <top/>
        <bottom/>
      </border>
    </dxf>
    <dxf>
      <font>
        <b val="0"/>
        <i val="0"/>
        <strike val="0"/>
        <condense val="0"/>
        <extend val="0"/>
        <outline val="0"/>
        <shadow val="0"/>
        <u val="none"/>
        <vertAlign val="baseline"/>
        <sz val="10"/>
        <color theme="1"/>
        <name val="Arial"/>
        <family val="2"/>
        <scheme val="minor"/>
      </font>
      <border diagonalUp="0" diagonalDown="0">
        <left style="thin">
          <color rgb="FF000000"/>
        </left>
        <right style="thick">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rial"/>
        <family val="2"/>
        <scheme val="minor"/>
      </font>
      <border diagonalUp="0" diagonalDown="0" outline="0">
        <left/>
        <right style="thin">
          <color rgb="FF000000"/>
        </right>
        <top/>
        <bottom/>
      </border>
    </dxf>
    <dxf>
      <font>
        <b val="0"/>
        <i val="0"/>
        <strike val="0"/>
        <condense val="0"/>
        <extend val="0"/>
        <outline val="0"/>
        <shadow val="0"/>
        <u val="none"/>
        <vertAlign val="baseline"/>
        <sz val="10"/>
        <color theme="1"/>
        <name val="Arial"/>
        <family val="2"/>
        <scheme val="minor"/>
      </font>
      <border diagonalUp="0" diagonalDown="0">
        <left/>
        <right style="thin">
          <color rgb="FF000000"/>
        </right>
        <top style="thin">
          <color rgb="FF000000"/>
        </top>
        <bottom style="thin">
          <color rgb="FF000000"/>
        </bottom>
        <vertical/>
        <horizontal/>
      </border>
    </dxf>
    <dxf>
      <border outline="0">
        <left style="thick">
          <color rgb="FF000000"/>
        </left>
        <top style="thick">
          <color rgb="FF000000"/>
        </top>
        <bottom style="thick">
          <color rgb="FF000000"/>
        </bottom>
      </border>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fill>
        <patternFill>
          <bgColor rgb="FF92D050"/>
        </patternFill>
      </fill>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
      <fill>
        <patternFill>
          <bgColor rgb="FF00B050"/>
        </patternFill>
      </fill>
    </dxf>
    <dxf>
      <fill>
        <patternFill>
          <bgColor rgb="FF92D050"/>
        </patternFill>
      </fill>
    </dxf>
    <dxf>
      <fill>
        <patternFill>
          <bgColor rgb="FFFFC000"/>
        </patternFill>
      </fill>
    </dxf>
    <dxf>
      <fill>
        <patternFill>
          <bgColor rgb="FFFF5050"/>
        </patternFill>
      </fill>
    </dxf>
    <dxf>
      <fill>
        <patternFill>
          <bgColor theme="0" tint="-4.9989318521683403E-2"/>
        </patternFill>
      </fill>
    </dxf>
    <dxf>
      <fill>
        <patternFill>
          <bgColor theme="0" tint="-0.34998626667073579"/>
        </patternFill>
      </fill>
    </dxf>
  </dxfs>
  <tableStyles count="0" defaultTableStyle="TableStyleMedium2" defaultPivotStyle="PivotStyleLight16"/>
  <colors>
    <mruColors>
      <color rgb="FFFFFFCC"/>
      <color rgb="FFCCCCFF"/>
      <color rgb="FFCCFFFF"/>
      <color rgb="FF99FFCC"/>
      <color rgb="FF9999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s>
</file>

<file path=xl/charts/_rels/chart2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53A3-4CCF-AD6B-CD104324B453}"/>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53A3-4CCF-AD6B-CD104324B453}"/>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53A3-4CCF-AD6B-CD104324B453}"/>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53A3-4CCF-AD6B-CD104324B453}"/>
              </c:ext>
            </c:extLst>
          </c:dPt>
          <c:cat>
            <c:strRef>
              <c:f>'Run'!$H$39:$H$42</c:f>
              <c:strCache>
                <c:ptCount val="4"/>
                <c:pt idx="0">
                  <c:v>Beginning</c:v>
                </c:pt>
                <c:pt idx="1">
                  <c:v>Progressing</c:v>
                </c:pt>
                <c:pt idx="2">
                  <c:v>Achieving </c:v>
                </c:pt>
                <c:pt idx="3">
                  <c:v>Excelling</c:v>
                </c:pt>
              </c:strCache>
            </c:strRef>
          </c:cat>
          <c:val>
            <c:numRef>
              <c:f>'Run'!$I$39:$I$42</c:f>
              <c:numCache>
                <c:formatCode>General</c:formatCode>
                <c:ptCount val="4"/>
                <c:pt idx="0">
                  <c:v>25</c:v>
                </c:pt>
                <c:pt idx="1">
                  <c:v>0</c:v>
                </c:pt>
                <c:pt idx="2">
                  <c:v>1</c:v>
                </c:pt>
                <c:pt idx="3">
                  <c:v>0</c:v>
                </c:pt>
              </c:numCache>
            </c:numRef>
          </c:val>
          <c:extLst>
            <c:ext xmlns:c16="http://schemas.microsoft.com/office/drawing/2014/chart" uri="{C3380CC4-5D6E-409C-BE32-E72D297353CC}">
              <c16:uniqueId val="{00000008-53A3-4CCF-AD6B-CD104324B453}"/>
            </c:ext>
          </c:extLst>
        </c:ser>
        <c:dLbls>
          <c:showLegendKey val="0"/>
          <c:showVal val="0"/>
          <c:showCatName val="0"/>
          <c:showSerName val="0"/>
          <c:showPercent val="0"/>
          <c:showBubbleSize val="0"/>
        </c:dLbls>
        <c:gapWidth val="150"/>
        <c:axId val="314159999"/>
        <c:axId val="553244749"/>
      </c:barChart>
      <c:catAx>
        <c:axId val="314159999"/>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553244749"/>
        <c:crosses val="autoZero"/>
        <c:auto val="1"/>
        <c:lblAlgn val="ctr"/>
        <c:lblOffset val="100"/>
        <c:noMultiLvlLbl val="1"/>
      </c:catAx>
      <c:valAx>
        <c:axId val="553244749"/>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14159999"/>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'Run'!$B$3</c:f>
              <c:strCache>
                <c:ptCount val="1"/>
                <c:pt idx="0">
                  <c:v>1. Eyes focused forward throughout the run</c:v>
                </c:pt>
              </c:strCache>
            </c:strRef>
          </c:tx>
          <c:spPr>
            <a:solidFill>
              <a:srgbClr val="073F5A"/>
            </a:solidFill>
            <a:ln>
              <a:noFill/>
              <a:prstDash val="solid"/>
            </a:ln>
          </c:spPr>
          <c:invertIfNegative val="1"/>
          <c:val>
            <c:numRef>
              <c:f>'Run'!$B$35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F47-4F4B-AE8E-52B096DE54D3}"/>
            </c:ext>
          </c:extLst>
        </c:ser>
        <c:ser>
          <c:idx val="1"/>
          <c:order val="1"/>
          <c:tx>
            <c:strRef>
              <c:f>'Run'!$C$3</c:f>
              <c:strCache>
                <c:ptCount val="1"/>
                <c:pt idx="0">
                  <c:v>2. Knees bend at right angles during the recovery phase</c:v>
                </c:pt>
              </c:strCache>
            </c:strRef>
          </c:tx>
          <c:spPr>
            <a:solidFill>
              <a:srgbClr val="0B5E87"/>
            </a:solidFill>
            <a:ln>
              <a:noFill/>
              <a:prstDash val="solid"/>
            </a:ln>
          </c:spPr>
          <c:invertIfNegative val="1"/>
          <c:val>
            <c:numRef>
              <c:f>'Run'!$C$35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1F47-4F4B-AE8E-52B096DE54D3}"/>
            </c:ext>
          </c:extLst>
        </c:ser>
        <c:ser>
          <c:idx val="2"/>
          <c:order val="2"/>
          <c:tx>
            <c:strRef>
              <c:f>'Run'!$D$3</c:f>
              <c:strCache>
                <c:ptCount val="1"/>
                <c:pt idx="0">
                  <c:v>3. Arms bend at elbows and move in opposition to legs</c:v>
                </c:pt>
              </c:strCache>
            </c:strRef>
          </c:tx>
          <c:spPr>
            <a:solidFill>
              <a:srgbClr val="0F7EB4"/>
            </a:solidFill>
            <a:ln>
              <a:noFill/>
              <a:prstDash val="solid"/>
            </a:ln>
          </c:spPr>
          <c:invertIfNegative val="1"/>
          <c:val>
            <c:numRef>
              <c:f>'Run'!$D$35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1F47-4F4B-AE8E-52B096DE54D3}"/>
            </c:ext>
          </c:extLst>
        </c:ser>
        <c:ser>
          <c:idx val="3"/>
          <c:order val="3"/>
          <c:tx>
            <c:strRef>
              <c:f>'Run'!$E$3</c:f>
              <c:strCache>
                <c:ptCount val="1"/>
                <c:pt idx="0">
                  <c:v>4. Contact ground with front part of foot</c:v>
                </c:pt>
              </c:strCache>
            </c:strRef>
          </c:tx>
          <c:spPr>
            <a:solidFill>
              <a:srgbClr val="50BCF0"/>
            </a:solidFill>
            <a:ln>
              <a:noFill/>
              <a:prstDash val="solid"/>
            </a:ln>
          </c:spPr>
          <c:invertIfNegative val="1"/>
          <c:val>
            <c:numRef>
              <c:f>'Run'!$E$35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1F47-4F4B-AE8E-52B096DE54D3}"/>
            </c:ext>
          </c:extLst>
        </c:ser>
        <c:ser>
          <c:idx val="4"/>
          <c:order val="4"/>
          <c:tx>
            <c:strRef>
              <c:f>'Run'!$F$3</c:f>
              <c:strCache>
                <c:ptCount val="1"/>
                <c:pt idx="0">
                  <c:v>5. Body leans slightly forward</c:v>
                </c:pt>
              </c:strCache>
            </c:strRef>
          </c:tx>
          <c:spPr>
            <a:solidFill>
              <a:srgbClr val="8AD2F5"/>
            </a:solidFill>
            <a:ln>
              <a:noFill/>
              <a:prstDash val="solid"/>
            </a:ln>
          </c:spPr>
          <c:invertIfNegative val="1"/>
          <c:val>
            <c:numRef>
              <c:f>'Run'!$F$35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1F47-4F4B-AE8E-52B096DE54D3}"/>
            </c:ext>
          </c:extLst>
        </c:ser>
        <c:dLbls>
          <c:showLegendKey val="0"/>
          <c:showVal val="0"/>
          <c:showCatName val="0"/>
          <c:showSerName val="0"/>
          <c:showPercent val="0"/>
          <c:showBubbleSize val="0"/>
        </c:dLbls>
        <c:gapWidth val="150"/>
        <c:axId val="2000188002"/>
        <c:axId val="1585469672"/>
      </c:barChart>
      <c:catAx>
        <c:axId val="2000188002"/>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585469672"/>
        <c:crosses val="autoZero"/>
        <c:auto val="1"/>
        <c:lblAlgn val="ctr"/>
        <c:lblOffset val="100"/>
        <c:noMultiLvlLbl val="1"/>
      </c:catAx>
      <c:valAx>
        <c:axId val="1585469672"/>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2000188002"/>
        <c:crossesAt val="1"/>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9D4F-4E69-8383-7882F8083CD6}"/>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9D4F-4E69-8383-7882F8083CD6}"/>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9D4F-4E69-8383-7882F8083CD6}"/>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9D4F-4E69-8383-7882F8083CD6}"/>
              </c:ext>
            </c:extLst>
          </c:dPt>
          <c:cat>
            <c:strRef>
              <c:f>'Vertical Jump'!$H$39:$H$42</c:f>
              <c:strCache>
                <c:ptCount val="4"/>
                <c:pt idx="0">
                  <c:v>Beginning</c:v>
                </c:pt>
                <c:pt idx="1">
                  <c:v>Progressing</c:v>
                </c:pt>
                <c:pt idx="2">
                  <c:v>Achieving </c:v>
                </c:pt>
                <c:pt idx="3">
                  <c:v>Excelling</c:v>
                </c:pt>
              </c:strCache>
            </c:strRef>
          </c:cat>
          <c:val>
            <c:numRef>
              <c:f>'Vertical Jump'!$I$39:$I$42</c:f>
              <c:numCache>
                <c:formatCode>General</c:formatCode>
                <c:ptCount val="4"/>
                <c:pt idx="0">
                  <c:v>25</c:v>
                </c:pt>
                <c:pt idx="1">
                  <c:v>1</c:v>
                </c:pt>
                <c:pt idx="2">
                  <c:v>0</c:v>
                </c:pt>
                <c:pt idx="3">
                  <c:v>0</c:v>
                </c:pt>
              </c:numCache>
            </c:numRef>
          </c:val>
          <c:extLst>
            <c:ext xmlns:c16="http://schemas.microsoft.com/office/drawing/2014/chart" uri="{C3380CC4-5D6E-409C-BE32-E72D297353CC}">
              <c16:uniqueId val="{00000008-9D4F-4E69-8383-7882F8083CD6}"/>
            </c:ext>
          </c:extLst>
        </c:ser>
        <c:dLbls>
          <c:showLegendKey val="0"/>
          <c:showVal val="0"/>
          <c:showCatName val="0"/>
          <c:showSerName val="0"/>
          <c:showPercent val="0"/>
          <c:showBubbleSize val="0"/>
        </c:dLbls>
        <c:gapWidth val="150"/>
        <c:axId val="1203390806"/>
        <c:axId val="1840594406"/>
      </c:barChart>
      <c:catAx>
        <c:axId val="1203390806"/>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840594406"/>
        <c:crosses val="autoZero"/>
        <c:auto val="1"/>
        <c:lblAlgn val="ctr"/>
        <c:lblOffset val="100"/>
        <c:noMultiLvlLbl val="1"/>
      </c:catAx>
      <c:valAx>
        <c:axId val="1840594406"/>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203390806"/>
        <c:crosses val="autoZero"/>
        <c:crossBetween val="between"/>
      </c:valAx>
    </c:plotArea>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'Vertical Jump'!$B$3</c:f>
              <c:strCache>
                <c:ptCount val="1"/>
                <c:pt idx="0">
                  <c:v>1. Eyes focused forwards or upwards throughout the jump</c:v>
                </c:pt>
              </c:strCache>
            </c:strRef>
          </c:tx>
          <c:spPr>
            <a:solidFill>
              <a:srgbClr val="073F5A"/>
            </a:solidFill>
            <a:ln>
              <a:noFill/>
              <a:prstDash val="solid"/>
            </a:ln>
          </c:spPr>
          <c:invertIfNegative val="1"/>
          <c:val>
            <c:numRef>
              <c:f>'Vertical Jump'!$B$35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C8C-42B3-9B22-7BA5C471B858}"/>
            </c:ext>
          </c:extLst>
        </c:ser>
        <c:ser>
          <c:idx val="1"/>
          <c:order val="1"/>
          <c:tx>
            <c:strRef>
              <c:f>'Vertical Jump'!$C$3</c:f>
              <c:strCache>
                <c:ptCount val="1"/>
                <c:pt idx="0">
                  <c:v>2. Crouch with knees bent and arms behind body</c:v>
                </c:pt>
              </c:strCache>
            </c:strRef>
          </c:tx>
          <c:spPr>
            <a:solidFill>
              <a:srgbClr val="0B5E87"/>
            </a:solidFill>
            <a:ln>
              <a:noFill/>
              <a:prstDash val="solid"/>
            </a:ln>
          </c:spPr>
          <c:invertIfNegative val="1"/>
          <c:val>
            <c:numRef>
              <c:f>'Vertical Jump'!$C$35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DC8C-42B3-9B22-7BA5C471B858}"/>
            </c:ext>
          </c:extLst>
        </c:ser>
        <c:ser>
          <c:idx val="2"/>
          <c:order val="2"/>
          <c:tx>
            <c:strRef>
              <c:f>'Vertical Jump'!$D$3</c:f>
              <c:strCache>
                <c:ptCount val="1"/>
                <c:pt idx="0">
                  <c:v>3. Forceful upward thrust of arms as legs straighten to take off</c:v>
                </c:pt>
              </c:strCache>
            </c:strRef>
          </c:tx>
          <c:spPr>
            <a:solidFill>
              <a:srgbClr val="0F7EB4"/>
            </a:solidFill>
            <a:ln>
              <a:noFill/>
              <a:prstDash val="solid"/>
            </a:ln>
          </c:spPr>
          <c:invertIfNegative val="1"/>
          <c:val>
            <c:numRef>
              <c:f>'Vertical Jump'!$D$35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DC8C-42B3-9B22-7BA5C471B858}"/>
            </c:ext>
          </c:extLst>
        </c:ser>
        <c:ser>
          <c:idx val="3"/>
          <c:order val="3"/>
          <c:tx>
            <c:strRef>
              <c:f>'Vertical Jump'!$E$3</c:f>
              <c:strCache>
                <c:ptCount val="1"/>
                <c:pt idx="0">
                  <c:v>4. Contact ground with front part of feet and bend knees to absorb force of landing</c:v>
                </c:pt>
              </c:strCache>
            </c:strRef>
          </c:tx>
          <c:spPr>
            <a:solidFill>
              <a:srgbClr val="50BCF0"/>
            </a:solidFill>
            <a:ln>
              <a:noFill/>
              <a:prstDash val="solid"/>
            </a:ln>
          </c:spPr>
          <c:invertIfNegative val="1"/>
          <c:val>
            <c:numRef>
              <c:f>'Vertical Jump'!$E$35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DC8C-42B3-9B22-7BA5C471B858}"/>
            </c:ext>
          </c:extLst>
        </c:ser>
        <c:ser>
          <c:idx val="4"/>
          <c:order val="4"/>
          <c:tx>
            <c:strRef>
              <c:f>'Vertical Jump'!$F$3</c:f>
              <c:strCache>
                <c:ptCount val="1"/>
                <c:pt idx="0">
                  <c:v>5. Balanced landing with no more than one step in any direction</c:v>
                </c:pt>
              </c:strCache>
            </c:strRef>
          </c:tx>
          <c:spPr>
            <a:solidFill>
              <a:srgbClr val="8AD2F5"/>
            </a:solidFill>
            <a:ln>
              <a:noFill/>
              <a:prstDash val="solid"/>
            </a:ln>
          </c:spPr>
          <c:invertIfNegative val="1"/>
          <c:val>
            <c:numRef>
              <c:f>'Vertical Jump'!$F$35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DC8C-42B3-9B22-7BA5C471B858}"/>
            </c:ext>
          </c:extLst>
        </c:ser>
        <c:dLbls>
          <c:showLegendKey val="0"/>
          <c:showVal val="0"/>
          <c:showCatName val="0"/>
          <c:showSerName val="0"/>
          <c:showPercent val="0"/>
          <c:showBubbleSize val="0"/>
        </c:dLbls>
        <c:gapWidth val="150"/>
        <c:axId val="469983060"/>
        <c:axId val="137825295"/>
      </c:barChart>
      <c:catAx>
        <c:axId val="469983060"/>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37825295"/>
        <c:crosses val="autoZero"/>
        <c:auto val="1"/>
        <c:lblAlgn val="ctr"/>
        <c:lblOffset val="100"/>
        <c:noMultiLvlLbl val="1"/>
      </c:catAx>
      <c:valAx>
        <c:axId val="137825295"/>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469983060"/>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88CB-4726-A57F-D3DC1164717D}"/>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88CB-4726-A57F-D3DC1164717D}"/>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88CB-4726-A57F-D3DC1164717D}"/>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88CB-4726-A57F-D3DC1164717D}"/>
              </c:ext>
            </c:extLst>
          </c:dPt>
          <c:cat>
            <c:strRef>
              <c:f>Leap!$H$39:$H$42</c:f>
              <c:strCache>
                <c:ptCount val="4"/>
                <c:pt idx="0">
                  <c:v>Beginning</c:v>
                </c:pt>
                <c:pt idx="1">
                  <c:v>Progressing</c:v>
                </c:pt>
                <c:pt idx="2">
                  <c:v>Achieving </c:v>
                </c:pt>
                <c:pt idx="3">
                  <c:v>Excelling</c:v>
                </c:pt>
              </c:strCache>
            </c:strRef>
          </c:cat>
          <c:val>
            <c:numRef>
              <c:f>Leap!$I$39:$I$42</c:f>
              <c:numCache>
                <c:formatCode>General</c:formatCode>
                <c:ptCount val="4"/>
                <c:pt idx="0">
                  <c:v>25</c:v>
                </c:pt>
                <c:pt idx="1">
                  <c:v>0</c:v>
                </c:pt>
                <c:pt idx="2">
                  <c:v>1</c:v>
                </c:pt>
                <c:pt idx="3">
                  <c:v>0</c:v>
                </c:pt>
              </c:numCache>
            </c:numRef>
          </c:val>
          <c:extLst>
            <c:ext xmlns:c16="http://schemas.microsoft.com/office/drawing/2014/chart" uri="{C3380CC4-5D6E-409C-BE32-E72D297353CC}">
              <c16:uniqueId val="{00000008-88CB-4726-A57F-D3DC1164717D}"/>
            </c:ext>
          </c:extLst>
        </c:ser>
        <c:dLbls>
          <c:showLegendKey val="0"/>
          <c:showVal val="0"/>
          <c:showCatName val="0"/>
          <c:showSerName val="0"/>
          <c:showPercent val="0"/>
          <c:showBubbleSize val="0"/>
        </c:dLbls>
        <c:gapWidth val="150"/>
        <c:axId val="1237874475"/>
        <c:axId val="83072809"/>
      </c:barChart>
      <c:catAx>
        <c:axId val="1237874475"/>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83072809"/>
        <c:crosses val="autoZero"/>
        <c:auto val="1"/>
        <c:lblAlgn val="ctr"/>
        <c:lblOffset val="100"/>
        <c:noMultiLvlLbl val="1"/>
      </c:catAx>
      <c:valAx>
        <c:axId val="83072809"/>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237874475"/>
        <c:crosses val="autoZero"/>
        <c:crossBetween val="between"/>
      </c:valAx>
    </c:plotArea>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Leap!$B$3</c:f>
              <c:strCache>
                <c:ptCount val="1"/>
                <c:pt idx="0">
                  <c:v>1. Forward movement sustained throughout the leap</c:v>
                </c:pt>
              </c:strCache>
            </c:strRef>
          </c:tx>
          <c:spPr>
            <a:solidFill>
              <a:srgbClr val="073F5A"/>
            </a:solidFill>
            <a:ln>
              <a:noFill/>
              <a:prstDash val="solid"/>
            </a:ln>
          </c:spPr>
          <c:invertIfNegative val="1"/>
          <c:val>
            <c:numRef>
              <c:f>Leap!$B$35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33B-40C7-A789-568F55ECED98}"/>
            </c:ext>
          </c:extLst>
        </c:ser>
        <c:ser>
          <c:idx val="1"/>
          <c:order val="1"/>
          <c:tx>
            <c:strRef>
              <c:f>Leap!$C$3</c:f>
              <c:strCache>
                <c:ptCount val="1"/>
                <c:pt idx="0">
                  <c:v>2. Eyes focused forward throughout the leap</c:v>
                </c:pt>
              </c:strCache>
            </c:strRef>
          </c:tx>
          <c:spPr>
            <a:solidFill>
              <a:srgbClr val="0B5E87"/>
            </a:solidFill>
            <a:ln>
              <a:noFill/>
              <a:prstDash val="solid"/>
            </a:ln>
          </c:spPr>
          <c:invertIfNegative val="1"/>
          <c:val>
            <c:numRef>
              <c:f>Leap!$C$35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933B-40C7-A789-568F55ECED98}"/>
            </c:ext>
          </c:extLst>
        </c:ser>
        <c:ser>
          <c:idx val="2"/>
          <c:order val="2"/>
          <c:tx>
            <c:strRef>
              <c:f>Leap!$D$3</c:f>
              <c:strCache>
                <c:ptCount val="1"/>
                <c:pt idx="0">
                  <c:v>3. Take off from one foot and land on the opposite foot</c:v>
                </c:pt>
              </c:strCache>
            </c:strRef>
          </c:tx>
          <c:spPr>
            <a:solidFill>
              <a:srgbClr val="0F7EB4"/>
            </a:solidFill>
            <a:ln>
              <a:noFill/>
              <a:prstDash val="solid"/>
            </a:ln>
          </c:spPr>
          <c:invertIfNegative val="1"/>
          <c:val>
            <c:numRef>
              <c:f>Leap!$D$35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933B-40C7-A789-568F55ECED98}"/>
            </c:ext>
          </c:extLst>
        </c:ser>
        <c:ser>
          <c:idx val="3"/>
          <c:order val="3"/>
          <c:tx>
            <c:strRef>
              <c:f>Leap!$E$3</c:f>
              <c:strCache>
                <c:ptCount val="1"/>
                <c:pt idx="0">
                  <c:v>4. During flight legs are straightened with the arms held in opposition to legs</c:v>
                </c:pt>
              </c:strCache>
            </c:strRef>
          </c:tx>
          <c:spPr>
            <a:solidFill>
              <a:srgbClr val="50BCF0"/>
            </a:solidFill>
            <a:ln>
              <a:noFill/>
              <a:prstDash val="solid"/>
            </a:ln>
          </c:spPr>
          <c:invertIfNegative val="1"/>
          <c:val>
            <c:numRef>
              <c:f>Leap!$E$35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933B-40C7-A789-568F55ECED98}"/>
            </c:ext>
          </c:extLst>
        </c:ser>
        <c:ser>
          <c:idx val="4"/>
          <c:order val="4"/>
          <c:tx>
            <c:strRef>
              <c:f>Leap!$F$3</c:f>
              <c:strCache>
                <c:ptCount val="1"/>
                <c:pt idx="0">
                  <c:v>5. Controlled landing without losing balance</c:v>
                </c:pt>
              </c:strCache>
            </c:strRef>
          </c:tx>
          <c:spPr>
            <a:solidFill>
              <a:srgbClr val="8AD2F5"/>
            </a:solidFill>
            <a:ln>
              <a:noFill/>
              <a:prstDash val="solid"/>
            </a:ln>
          </c:spPr>
          <c:invertIfNegative val="1"/>
          <c:val>
            <c:numRef>
              <c:f>Leap!$F$35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933B-40C7-A789-568F55ECED98}"/>
            </c:ext>
          </c:extLst>
        </c:ser>
        <c:dLbls>
          <c:showLegendKey val="0"/>
          <c:showVal val="0"/>
          <c:showCatName val="0"/>
          <c:showSerName val="0"/>
          <c:showPercent val="0"/>
          <c:showBubbleSize val="0"/>
        </c:dLbls>
        <c:gapWidth val="150"/>
        <c:axId val="1638266859"/>
        <c:axId val="273080584"/>
      </c:barChart>
      <c:catAx>
        <c:axId val="1638266859"/>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273080584"/>
        <c:crosses val="autoZero"/>
        <c:auto val="1"/>
        <c:lblAlgn val="ctr"/>
        <c:lblOffset val="100"/>
        <c:noMultiLvlLbl val="1"/>
      </c:catAx>
      <c:valAx>
        <c:axId val="273080584"/>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638266859"/>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5E5A-4DF5-B9B4-CB765C2C0C45}"/>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5E5A-4DF5-B9B4-CB765C2C0C45}"/>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5E5A-4DF5-B9B4-CB765C2C0C45}"/>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5E5A-4DF5-B9B4-CB765C2C0C45}"/>
              </c:ext>
            </c:extLst>
          </c:dPt>
          <c:cat>
            <c:strRef>
              <c:f>Dodge!$H$39:$H$42</c:f>
              <c:strCache>
                <c:ptCount val="4"/>
                <c:pt idx="0">
                  <c:v>Beginning</c:v>
                </c:pt>
                <c:pt idx="1">
                  <c:v>Progressing</c:v>
                </c:pt>
                <c:pt idx="2">
                  <c:v>Achieving </c:v>
                </c:pt>
                <c:pt idx="3">
                  <c:v>Excelling</c:v>
                </c:pt>
              </c:strCache>
            </c:strRef>
          </c:cat>
          <c:val>
            <c:numRef>
              <c:f>Dodge!$I$39:$I$42</c:f>
              <c:numCache>
                <c:formatCode>General</c:formatCode>
                <c:ptCount val="4"/>
                <c:pt idx="0">
                  <c:v>25</c:v>
                </c:pt>
                <c:pt idx="1">
                  <c:v>0</c:v>
                </c:pt>
                <c:pt idx="2">
                  <c:v>1</c:v>
                </c:pt>
                <c:pt idx="3">
                  <c:v>0</c:v>
                </c:pt>
              </c:numCache>
            </c:numRef>
          </c:val>
          <c:extLst>
            <c:ext xmlns:c16="http://schemas.microsoft.com/office/drawing/2014/chart" uri="{C3380CC4-5D6E-409C-BE32-E72D297353CC}">
              <c16:uniqueId val="{00000008-5E5A-4DF5-B9B4-CB765C2C0C45}"/>
            </c:ext>
          </c:extLst>
        </c:ser>
        <c:dLbls>
          <c:showLegendKey val="0"/>
          <c:showVal val="0"/>
          <c:showCatName val="0"/>
          <c:showSerName val="0"/>
          <c:showPercent val="0"/>
          <c:showBubbleSize val="0"/>
        </c:dLbls>
        <c:gapWidth val="150"/>
        <c:axId val="336327650"/>
        <c:axId val="29643642"/>
      </c:barChart>
      <c:catAx>
        <c:axId val="336327650"/>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29643642"/>
        <c:crosses val="autoZero"/>
        <c:auto val="1"/>
        <c:lblAlgn val="ctr"/>
        <c:lblOffset val="100"/>
        <c:noMultiLvlLbl val="1"/>
      </c:catAx>
      <c:valAx>
        <c:axId val="29643642"/>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36327650"/>
        <c:crosses val="autoZero"/>
        <c:crossBetween val="between"/>
      </c:valAx>
    </c:plotArea>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Dodge!$B$3</c:f>
              <c:strCache>
                <c:ptCount val="1"/>
                <c:pt idx="0">
                  <c:v>1. Eyes focused in direction of travel throughout the dodge</c:v>
                </c:pt>
              </c:strCache>
            </c:strRef>
          </c:tx>
          <c:spPr>
            <a:solidFill>
              <a:srgbClr val="073F5A"/>
            </a:solidFill>
            <a:ln>
              <a:noFill/>
              <a:prstDash val="solid"/>
            </a:ln>
          </c:spPr>
          <c:invertIfNegative val="1"/>
          <c:val>
            <c:numRef>
              <c:f>Dodge!$B$35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8D4-43EE-A1E0-B92539EB62CC}"/>
            </c:ext>
          </c:extLst>
        </c:ser>
        <c:ser>
          <c:idx val="1"/>
          <c:order val="1"/>
          <c:tx>
            <c:strRef>
              <c:f>Dodge!$C$3</c:f>
              <c:strCache>
                <c:ptCount val="1"/>
                <c:pt idx="0">
                  <c:v>2. Change direction by pushing off outside foot</c:v>
                </c:pt>
              </c:strCache>
            </c:strRef>
          </c:tx>
          <c:spPr>
            <a:solidFill>
              <a:srgbClr val="0B5E87"/>
            </a:solidFill>
            <a:ln>
              <a:noFill/>
              <a:prstDash val="solid"/>
            </a:ln>
          </c:spPr>
          <c:invertIfNegative val="1"/>
          <c:val>
            <c:numRef>
              <c:f>Dodge!$C$35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18D4-43EE-A1E0-B92539EB62CC}"/>
            </c:ext>
          </c:extLst>
        </c:ser>
        <c:ser>
          <c:idx val="2"/>
          <c:order val="2"/>
          <c:tx>
            <c:strRef>
              <c:f>Dodge!$D$3</c:f>
              <c:strCache>
                <c:ptCount val="1"/>
                <c:pt idx="0">
                  <c:v>3. Body lowered during change of direction</c:v>
                </c:pt>
              </c:strCache>
            </c:strRef>
          </c:tx>
          <c:spPr>
            <a:solidFill>
              <a:srgbClr val="0F7EB4"/>
            </a:solidFill>
            <a:ln>
              <a:noFill/>
              <a:prstDash val="solid"/>
            </a:ln>
          </c:spPr>
          <c:invertIfNegative val="1"/>
          <c:val>
            <c:numRef>
              <c:f>Dodge!$D$35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18D4-43EE-A1E0-B92539EB62CC}"/>
            </c:ext>
          </c:extLst>
        </c:ser>
        <c:ser>
          <c:idx val="3"/>
          <c:order val="3"/>
          <c:tx>
            <c:strRef>
              <c:f>Dodge!$E$3</c:f>
              <c:strCache>
                <c:ptCount val="1"/>
                <c:pt idx="0">
                  <c:v>4. Change of direction occurs in one step</c:v>
                </c:pt>
              </c:strCache>
            </c:strRef>
          </c:tx>
          <c:spPr>
            <a:solidFill>
              <a:srgbClr val="50BCF0"/>
            </a:solidFill>
            <a:ln>
              <a:noFill/>
              <a:prstDash val="solid"/>
            </a:ln>
          </c:spPr>
          <c:invertIfNegative val="1"/>
          <c:val>
            <c:numRef>
              <c:f>Dodge!$E$35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18D4-43EE-A1E0-B92539EB62CC}"/>
            </c:ext>
          </c:extLst>
        </c:ser>
        <c:ser>
          <c:idx val="4"/>
          <c:order val="4"/>
          <c:tx>
            <c:strRef>
              <c:f>Dodge!$F$3</c:f>
              <c:strCache>
                <c:ptCount val="1"/>
                <c:pt idx="0">
                  <c:v>5. Dodge repeated from right to left, left to right, and so on</c:v>
                </c:pt>
              </c:strCache>
            </c:strRef>
          </c:tx>
          <c:spPr>
            <a:solidFill>
              <a:srgbClr val="8AD2F5"/>
            </a:solidFill>
            <a:ln>
              <a:noFill/>
              <a:prstDash val="solid"/>
            </a:ln>
          </c:spPr>
          <c:invertIfNegative val="1"/>
          <c:val>
            <c:numRef>
              <c:f>Dodge!$F$35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18D4-43EE-A1E0-B92539EB62CC}"/>
            </c:ext>
          </c:extLst>
        </c:ser>
        <c:dLbls>
          <c:showLegendKey val="0"/>
          <c:showVal val="0"/>
          <c:showCatName val="0"/>
          <c:showSerName val="0"/>
          <c:showPercent val="0"/>
          <c:showBubbleSize val="0"/>
        </c:dLbls>
        <c:gapWidth val="150"/>
        <c:axId val="1806880567"/>
        <c:axId val="2110087137"/>
      </c:barChart>
      <c:catAx>
        <c:axId val="1806880567"/>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2110087137"/>
        <c:crosses val="autoZero"/>
        <c:auto val="1"/>
        <c:lblAlgn val="ctr"/>
        <c:lblOffset val="100"/>
        <c:noMultiLvlLbl val="1"/>
      </c:catAx>
      <c:valAx>
        <c:axId val="2110087137"/>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806880567"/>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C0A7-47F8-9646-61284F83D0F1}"/>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C0A7-47F8-9646-61284F83D0F1}"/>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C0A7-47F8-9646-61284F83D0F1}"/>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C0A7-47F8-9646-61284F83D0F1}"/>
              </c:ext>
            </c:extLst>
          </c:dPt>
          <c:cat>
            <c:strRef>
              <c:f>Catch!$I$39:$I$42</c:f>
              <c:strCache>
                <c:ptCount val="4"/>
                <c:pt idx="0">
                  <c:v>Beginning</c:v>
                </c:pt>
                <c:pt idx="1">
                  <c:v>Progressing</c:v>
                </c:pt>
                <c:pt idx="2">
                  <c:v>Achieving </c:v>
                </c:pt>
                <c:pt idx="3">
                  <c:v>Excelling</c:v>
                </c:pt>
              </c:strCache>
            </c:strRef>
          </c:cat>
          <c:val>
            <c:numRef>
              <c:f>Catch!$J$39:$J$42</c:f>
              <c:numCache>
                <c:formatCode>General</c:formatCode>
                <c:ptCount val="4"/>
                <c:pt idx="0">
                  <c:v>26</c:v>
                </c:pt>
                <c:pt idx="1">
                  <c:v>0</c:v>
                </c:pt>
                <c:pt idx="2">
                  <c:v>0</c:v>
                </c:pt>
                <c:pt idx="3">
                  <c:v>0</c:v>
                </c:pt>
              </c:numCache>
            </c:numRef>
          </c:val>
          <c:extLst>
            <c:ext xmlns:c16="http://schemas.microsoft.com/office/drawing/2014/chart" uri="{C3380CC4-5D6E-409C-BE32-E72D297353CC}">
              <c16:uniqueId val="{00000008-C0A7-47F8-9646-61284F83D0F1}"/>
            </c:ext>
          </c:extLst>
        </c:ser>
        <c:dLbls>
          <c:showLegendKey val="0"/>
          <c:showVal val="0"/>
          <c:showCatName val="0"/>
          <c:showSerName val="0"/>
          <c:showPercent val="0"/>
          <c:showBubbleSize val="0"/>
        </c:dLbls>
        <c:gapWidth val="150"/>
        <c:axId val="1532246574"/>
        <c:axId val="1455634000"/>
      </c:barChart>
      <c:catAx>
        <c:axId val="1532246574"/>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455634000"/>
        <c:crosses val="autoZero"/>
        <c:auto val="1"/>
        <c:lblAlgn val="ctr"/>
        <c:lblOffset val="100"/>
        <c:noMultiLvlLbl val="1"/>
      </c:catAx>
      <c:valAx>
        <c:axId val="1455634000"/>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532246574"/>
        <c:crosses val="autoZero"/>
        <c:crossBetween val="between"/>
      </c:valAx>
    </c:plotArea>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Catch!$B$3</c:f>
              <c:strCache>
                <c:ptCount val="1"/>
                <c:pt idx="0">
                  <c:v>1. Eyes are focused on the ball throughout the catch</c:v>
                </c:pt>
              </c:strCache>
            </c:strRef>
          </c:tx>
          <c:spPr>
            <a:solidFill>
              <a:srgbClr val="073F5A"/>
            </a:solidFill>
            <a:ln>
              <a:noFill/>
              <a:prstDash val="solid"/>
            </a:ln>
          </c:spPr>
          <c:invertIfNegative val="1"/>
          <c:val>
            <c:numRef>
              <c:f>Catch!$B$35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E59-457B-9146-7AC0AB321718}"/>
            </c:ext>
          </c:extLst>
        </c:ser>
        <c:ser>
          <c:idx val="1"/>
          <c:order val="1"/>
          <c:tx>
            <c:strRef>
              <c:f>Catch!$C$3</c:f>
              <c:strCache>
                <c:ptCount val="1"/>
                <c:pt idx="0">
                  <c:v>2. Preparatory position with elbows bent and hands in front of body</c:v>
                </c:pt>
              </c:strCache>
            </c:strRef>
          </c:tx>
          <c:spPr>
            <a:solidFill>
              <a:srgbClr val="0B5E87"/>
            </a:solidFill>
            <a:ln>
              <a:noFill/>
              <a:prstDash val="solid"/>
            </a:ln>
          </c:spPr>
          <c:invertIfNegative val="1"/>
          <c:val>
            <c:numRef>
              <c:f>Catch!$C$35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0E59-457B-9146-7AC0AB321718}"/>
            </c:ext>
          </c:extLst>
        </c:ser>
        <c:ser>
          <c:idx val="2"/>
          <c:order val="2"/>
          <c:tx>
            <c:strRef>
              <c:f>Catch!$D$3</c:f>
              <c:strCache>
                <c:ptCount val="1"/>
                <c:pt idx="0">
                  <c:v>3. Hands move to meet the ball</c:v>
                </c:pt>
              </c:strCache>
            </c:strRef>
          </c:tx>
          <c:spPr>
            <a:solidFill>
              <a:srgbClr val="0F7EB4"/>
            </a:solidFill>
            <a:ln>
              <a:noFill/>
              <a:prstDash val="solid"/>
            </a:ln>
          </c:spPr>
          <c:invertIfNegative val="1"/>
          <c:val>
            <c:numRef>
              <c:f>Catch!$D$35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0E59-457B-9146-7AC0AB321718}"/>
            </c:ext>
          </c:extLst>
        </c:ser>
        <c:ser>
          <c:idx val="3"/>
          <c:order val="3"/>
          <c:tx>
            <c:strRef>
              <c:f>Catch!$E$3</c:f>
              <c:strCache>
                <c:ptCount val="1"/>
                <c:pt idx="0">
                  <c:v>4. Hands and fingers positioned correctly to catch the ball</c:v>
                </c:pt>
              </c:strCache>
            </c:strRef>
          </c:tx>
          <c:spPr>
            <a:solidFill>
              <a:srgbClr val="50BCF0"/>
            </a:solidFill>
            <a:ln>
              <a:noFill/>
              <a:prstDash val="solid"/>
            </a:ln>
          </c:spPr>
          <c:invertIfNegative val="1"/>
          <c:val>
            <c:numRef>
              <c:f>Catch!$E$35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0E59-457B-9146-7AC0AB321718}"/>
            </c:ext>
          </c:extLst>
        </c:ser>
        <c:ser>
          <c:idx val="4"/>
          <c:order val="4"/>
          <c:tx>
            <c:strRef>
              <c:f>Catch!$F$3</c:f>
              <c:strCache>
                <c:ptCount val="1"/>
                <c:pt idx="0">
                  <c:v>5. Catch and control the ball with hands only</c:v>
                </c:pt>
              </c:strCache>
            </c:strRef>
          </c:tx>
          <c:spPr>
            <a:solidFill>
              <a:srgbClr val="8AD2F5"/>
            </a:solidFill>
            <a:ln>
              <a:noFill/>
              <a:prstDash val="solid"/>
            </a:ln>
          </c:spPr>
          <c:invertIfNegative val="1"/>
          <c:val>
            <c:numRef>
              <c:f>Catch!$F$35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0E59-457B-9146-7AC0AB321718}"/>
            </c:ext>
          </c:extLst>
        </c:ser>
        <c:ser>
          <c:idx val="5"/>
          <c:order val="5"/>
          <c:tx>
            <c:strRef>
              <c:f>Catch!$G$3</c:f>
              <c:strCache>
                <c:ptCount val="1"/>
                <c:pt idx="0">
                  <c:v>6. Elbows bend to absorb force of the ball</c:v>
                </c:pt>
              </c:strCache>
            </c:strRef>
          </c:tx>
          <c:spPr>
            <a:solidFill>
              <a:srgbClr val="C4E8FA"/>
            </a:solidFill>
            <a:ln>
              <a:noFill/>
              <a:prstDash val="solid"/>
            </a:ln>
          </c:spPr>
          <c:invertIfNegative val="1"/>
          <c:val>
            <c:numRef>
              <c:f>Catch!$G$35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5-0E59-457B-9146-7AC0AB321718}"/>
            </c:ext>
          </c:extLst>
        </c:ser>
        <c:dLbls>
          <c:showLegendKey val="0"/>
          <c:showVal val="0"/>
          <c:showCatName val="0"/>
          <c:showSerName val="0"/>
          <c:showPercent val="0"/>
          <c:showBubbleSize val="0"/>
        </c:dLbls>
        <c:gapWidth val="150"/>
        <c:axId val="1720588585"/>
        <c:axId val="1547188934"/>
      </c:barChart>
      <c:catAx>
        <c:axId val="1720588585"/>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547188934"/>
        <c:crosses val="autoZero"/>
        <c:auto val="1"/>
        <c:lblAlgn val="ctr"/>
        <c:lblOffset val="100"/>
        <c:noMultiLvlLbl val="1"/>
      </c:catAx>
      <c:valAx>
        <c:axId val="1547188934"/>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720588585"/>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CA43-474D-AEFB-9F545ABDBA99}"/>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CA43-474D-AEFB-9F545ABDBA99}"/>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CA43-474D-AEFB-9F545ABDBA99}"/>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CA43-474D-AEFB-9F545ABDBA99}"/>
              </c:ext>
            </c:extLst>
          </c:dPt>
          <c:cat>
            <c:strRef>
              <c:f>'Overhand throw'!$I$39:$I$42</c:f>
              <c:strCache>
                <c:ptCount val="4"/>
                <c:pt idx="0">
                  <c:v>Beginning</c:v>
                </c:pt>
                <c:pt idx="1">
                  <c:v>Progressing</c:v>
                </c:pt>
                <c:pt idx="2">
                  <c:v>Achieving </c:v>
                </c:pt>
                <c:pt idx="3">
                  <c:v>Excelling</c:v>
                </c:pt>
              </c:strCache>
            </c:strRef>
          </c:cat>
          <c:val>
            <c:numRef>
              <c:f>'Overhand throw'!$J$39:$J$42</c:f>
              <c:numCache>
                <c:formatCode>General</c:formatCode>
                <c:ptCount val="4"/>
                <c:pt idx="0">
                  <c:v>25</c:v>
                </c:pt>
                <c:pt idx="1">
                  <c:v>0</c:v>
                </c:pt>
                <c:pt idx="2">
                  <c:v>1</c:v>
                </c:pt>
                <c:pt idx="3">
                  <c:v>0</c:v>
                </c:pt>
              </c:numCache>
            </c:numRef>
          </c:val>
          <c:extLst>
            <c:ext xmlns:c16="http://schemas.microsoft.com/office/drawing/2014/chart" uri="{C3380CC4-5D6E-409C-BE32-E72D297353CC}">
              <c16:uniqueId val="{00000008-CA43-474D-AEFB-9F545ABDBA99}"/>
            </c:ext>
          </c:extLst>
        </c:ser>
        <c:dLbls>
          <c:showLegendKey val="0"/>
          <c:showVal val="0"/>
          <c:showCatName val="0"/>
          <c:showSerName val="0"/>
          <c:showPercent val="0"/>
          <c:showBubbleSize val="0"/>
        </c:dLbls>
        <c:gapWidth val="150"/>
        <c:axId val="612983140"/>
        <c:axId val="1413038931"/>
      </c:barChart>
      <c:catAx>
        <c:axId val="612983140"/>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413038931"/>
        <c:crosses val="autoZero"/>
        <c:auto val="1"/>
        <c:lblAlgn val="ctr"/>
        <c:lblOffset val="100"/>
        <c:noMultiLvlLbl val="1"/>
      </c:catAx>
      <c:valAx>
        <c:axId val="1413038931"/>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612983140"/>
        <c:crosses val="autoZero"/>
        <c:crossBetween val="between"/>
      </c:valAx>
    </c:plotArea>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'Overhand throw'!$B$3</c:f>
              <c:strCache>
                <c:ptCount val="1"/>
                <c:pt idx="0">
                  <c:v>1. Eyes are focused on the target throughout the throw</c:v>
                </c:pt>
              </c:strCache>
            </c:strRef>
          </c:tx>
          <c:spPr>
            <a:solidFill>
              <a:srgbClr val="073F5A"/>
            </a:solidFill>
            <a:ln>
              <a:noFill/>
              <a:prstDash val="solid"/>
            </a:ln>
          </c:spPr>
          <c:invertIfNegative val="1"/>
          <c:val>
            <c:numRef>
              <c:f>'Overhand throw'!$B$35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1DF-4093-99E1-3E867731279B}"/>
            </c:ext>
          </c:extLst>
        </c:ser>
        <c:ser>
          <c:idx val="1"/>
          <c:order val="1"/>
          <c:tx>
            <c:strRef>
              <c:f>'Overhand throw'!$C$3</c:f>
              <c:strCache>
                <c:ptCount val="1"/>
                <c:pt idx="0">
                  <c:v>2. Stands side-on to the target </c:v>
                </c:pt>
              </c:strCache>
            </c:strRef>
          </c:tx>
          <c:spPr>
            <a:solidFill>
              <a:srgbClr val="0B5E87"/>
            </a:solidFill>
            <a:ln>
              <a:noFill/>
              <a:prstDash val="solid"/>
            </a:ln>
          </c:spPr>
          <c:invertIfNegative val="1"/>
          <c:val>
            <c:numRef>
              <c:f>'Overhand throw'!$C$35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D1DF-4093-99E1-3E867731279B}"/>
            </c:ext>
          </c:extLst>
        </c:ser>
        <c:ser>
          <c:idx val="2"/>
          <c:order val="2"/>
          <c:tx>
            <c:strRef>
              <c:f>'Overhand throw'!$D$3</c:f>
              <c:strCache>
                <c:ptCount val="1"/>
                <c:pt idx="0">
                  <c:v>3. Throwing arm nearly straightened behind the body</c:v>
                </c:pt>
              </c:strCache>
            </c:strRef>
          </c:tx>
          <c:spPr>
            <a:solidFill>
              <a:srgbClr val="0F7EB4"/>
            </a:solidFill>
            <a:ln>
              <a:noFill/>
              <a:prstDash val="solid"/>
            </a:ln>
          </c:spPr>
          <c:invertIfNegative val="1"/>
          <c:val>
            <c:numRef>
              <c:f>'Overhand throw'!$D$35</c:f>
              <c:numCache>
                <c:formatCode>General</c:formatCode>
                <c:ptCount val="1"/>
                <c:pt idx="0">
                  <c:v>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D1DF-4093-99E1-3E867731279B}"/>
            </c:ext>
          </c:extLst>
        </c:ser>
        <c:ser>
          <c:idx val="3"/>
          <c:order val="3"/>
          <c:tx>
            <c:strRef>
              <c:f>'Overhand throw'!$E$3</c:f>
              <c:strCache>
                <c:ptCount val="1"/>
                <c:pt idx="0">
                  <c:v>4. Step towards the target with foot opposite throwing arm during the throw</c:v>
                </c:pt>
              </c:strCache>
            </c:strRef>
          </c:tx>
          <c:spPr>
            <a:solidFill>
              <a:srgbClr val="50BCF0"/>
            </a:solidFill>
            <a:ln>
              <a:noFill/>
              <a:prstDash val="solid"/>
            </a:ln>
          </c:spPr>
          <c:invertIfNegative val="1"/>
          <c:val>
            <c:numRef>
              <c:f>'Overhand throw'!$E$35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D1DF-4093-99E1-3E867731279B}"/>
            </c:ext>
          </c:extLst>
        </c:ser>
        <c:ser>
          <c:idx val="4"/>
          <c:order val="4"/>
          <c:tx>
            <c:strRef>
              <c:f>'Overhand throw'!$F$3</c:f>
              <c:strCache>
                <c:ptCount val="1"/>
                <c:pt idx="0">
                  <c:v>5. Marked sequential hip to shoulder rotation during the throw</c:v>
                </c:pt>
              </c:strCache>
            </c:strRef>
          </c:tx>
          <c:spPr>
            <a:solidFill>
              <a:srgbClr val="8AD2F5"/>
            </a:solidFill>
            <a:ln>
              <a:noFill/>
              <a:prstDash val="solid"/>
            </a:ln>
          </c:spPr>
          <c:invertIfNegative val="1"/>
          <c:val>
            <c:numRef>
              <c:f>'Overhand throw'!$F$35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D1DF-4093-99E1-3E867731279B}"/>
            </c:ext>
          </c:extLst>
        </c:ser>
        <c:ser>
          <c:idx val="5"/>
          <c:order val="5"/>
          <c:tx>
            <c:strRef>
              <c:f>'Overhand throw'!$G$3</c:f>
              <c:strCache>
                <c:ptCount val="1"/>
                <c:pt idx="0">
                  <c:v>6. Throwing arm follows through down and across the body</c:v>
                </c:pt>
              </c:strCache>
            </c:strRef>
          </c:tx>
          <c:spPr>
            <a:solidFill>
              <a:srgbClr val="C4E8FA"/>
            </a:solidFill>
            <a:ln>
              <a:noFill/>
              <a:prstDash val="solid"/>
            </a:ln>
          </c:spPr>
          <c:invertIfNegative val="1"/>
          <c:val>
            <c:numRef>
              <c:f>'Overhand throw'!$G$35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5-D1DF-4093-99E1-3E867731279B}"/>
            </c:ext>
          </c:extLst>
        </c:ser>
        <c:dLbls>
          <c:showLegendKey val="0"/>
          <c:showVal val="0"/>
          <c:showCatName val="0"/>
          <c:showSerName val="0"/>
          <c:showPercent val="0"/>
          <c:showBubbleSize val="0"/>
        </c:dLbls>
        <c:gapWidth val="150"/>
        <c:axId val="387498978"/>
        <c:axId val="1626949788"/>
      </c:barChart>
      <c:catAx>
        <c:axId val="387498978"/>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626949788"/>
        <c:crosses val="autoZero"/>
        <c:auto val="1"/>
        <c:lblAlgn val="ctr"/>
        <c:lblOffset val="100"/>
        <c:noMultiLvlLbl val="1"/>
      </c:catAx>
      <c:valAx>
        <c:axId val="1626949788"/>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87498978"/>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B80B-491C-8971-C3818125D7FC}"/>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B80B-491C-8971-C3818125D7FC}"/>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B80B-491C-8971-C3818125D7FC}"/>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B80B-491C-8971-C3818125D7FC}"/>
              </c:ext>
            </c:extLst>
          </c:dPt>
          <c:cat>
            <c:strRef>
              <c:f>Kick!$J$39:$J$42</c:f>
              <c:strCache>
                <c:ptCount val="4"/>
                <c:pt idx="0">
                  <c:v>Beginning</c:v>
                </c:pt>
                <c:pt idx="1">
                  <c:v>Progressing</c:v>
                </c:pt>
                <c:pt idx="2">
                  <c:v>Achieving </c:v>
                </c:pt>
                <c:pt idx="3">
                  <c:v>Excelling</c:v>
                </c:pt>
              </c:strCache>
            </c:strRef>
          </c:cat>
          <c:val>
            <c:numRef>
              <c:f>Kick!$K$39:$K$42</c:f>
              <c:numCache>
                <c:formatCode>General</c:formatCode>
                <c:ptCount val="4"/>
                <c:pt idx="0">
                  <c:v>26</c:v>
                </c:pt>
                <c:pt idx="1">
                  <c:v>0</c:v>
                </c:pt>
                <c:pt idx="2">
                  <c:v>0</c:v>
                </c:pt>
                <c:pt idx="3">
                  <c:v>0</c:v>
                </c:pt>
              </c:numCache>
            </c:numRef>
          </c:val>
          <c:extLst>
            <c:ext xmlns:c16="http://schemas.microsoft.com/office/drawing/2014/chart" uri="{C3380CC4-5D6E-409C-BE32-E72D297353CC}">
              <c16:uniqueId val="{00000008-B80B-491C-8971-C3818125D7FC}"/>
            </c:ext>
          </c:extLst>
        </c:ser>
        <c:dLbls>
          <c:showLegendKey val="0"/>
          <c:showVal val="0"/>
          <c:showCatName val="0"/>
          <c:showSerName val="0"/>
          <c:showPercent val="0"/>
          <c:showBubbleSize val="0"/>
        </c:dLbls>
        <c:gapWidth val="150"/>
        <c:axId val="918130732"/>
        <c:axId val="583928561"/>
      </c:barChart>
      <c:catAx>
        <c:axId val="918130732"/>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583928561"/>
        <c:crosses val="autoZero"/>
        <c:auto val="1"/>
        <c:lblAlgn val="ctr"/>
        <c:lblOffset val="100"/>
        <c:noMultiLvlLbl val="1"/>
      </c:catAx>
      <c:valAx>
        <c:axId val="583928561"/>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918130732"/>
        <c:crosses val="autoZero"/>
        <c:crossBetween val="between"/>
      </c:valAx>
    </c:plotArea>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Kick!$B$3</c:f>
              <c:strCache>
                <c:ptCount val="1"/>
                <c:pt idx="0">
                  <c:v>1. Eyes are focused on the ball throughout the kick</c:v>
                </c:pt>
              </c:strCache>
            </c:strRef>
          </c:tx>
          <c:spPr>
            <a:solidFill>
              <a:srgbClr val="073F5A"/>
            </a:solidFill>
            <a:ln>
              <a:noFill/>
              <a:prstDash val="solid"/>
            </a:ln>
          </c:spPr>
          <c:invertIfNegative val="1"/>
          <c:val>
            <c:numRef>
              <c:f>Kick!$B$35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CAC-4E78-B2FD-296EDB6C0779}"/>
            </c:ext>
          </c:extLst>
        </c:ser>
        <c:ser>
          <c:idx val="1"/>
          <c:order val="1"/>
          <c:tx>
            <c:strRef>
              <c:f>Kick!$C$3</c:f>
              <c:strCache>
                <c:ptCount val="1"/>
                <c:pt idx="0">
                  <c:v>2. Step forward with non-kicking foot placed near the ball</c:v>
                </c:pt>
              </c:strCache>
            </c:strRef>
          </c:tx>
          <c:spPr>
            <a:solidFill>
              <a:srgbClr val="0B5E87"/>
            </a:solidFill>
            <a:ln>
              <a:noFill/>
              <a:prstDash val="solid"/>
            </a:ln>
          </c:spPr>
          <c:invertIfNegative val="1"/>
          <c:val>
            <c:numRef>
              <c:f>Kick!$C$35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CCAC-4E78-B2FD-296EDB6C0779}"/>
            </c:ext>
          </c:extLst>
        </c:ser>
        <c:ser>
          <c:idx val="2"/>
          <c:order val="2"/>
          <c:tx>
            <c:strRef>
              <c:f>Kick!$D$3</c:f>
              <c:strCache>
                <c:ptCount val="1"/>
                <c:pt idx="0">
                  <c:v>3. Bend knee of kicking leg during the backswing for the kick</c:v>
                </c:pt>
              </c:strCache>
            </c:strRef>
          </c:tx>
          <c:spPr>
            <a:solidFill>
              <a:srgbClr val="0F7EB4"/>
            </a:solidFill>
            <a:ln>
              <a:noFill/>
              <a:prstDash val="solid"/>
            </a:ln>
          </c:spPr>
          <c:invertIfNegative val="1"/>
          <c:val>
            <c:numRef>
              <c:f>Kick!$D$35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CCAC-4E78-B2FD-296EDB6C0779}"/>
            </c:ext>
          </c:extLst>
        </c:ser>
        <c:ser>
          <c:idx val="3"/>
          <c:order val="3"/>
          <c:tx>
            <c:strRef>
              <c:f>Kick!$E$3</c:f>
              <c:strCache>
                <c:ptCount val="1"/>
                <c:pt idx="0">
                  <c:v>4. Hip extension and knee flexion of at least 90º during preliminary kicking movement</c:v>
                </c:pt>
              </c:strCache>
            </c:strRef>
          </c:tx>
          <c:spPr>
            <a:solidFill>
              <a:srgbClr val="50BCF0"/>
            </a:solidFill>
            <a:ln>
              <a:noFill/>
              <a:prstDash val="solid"/>
            </a:ln>
          </c:spPr>
          <c:invertIfNegative val="1"/>
          <c:val>
            <c:numRef>
              <c:f>Kick!$E$35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CCAC-4E78-B2FD-296EDB6C0779}"/>
            </c:ext>
          </c:extLst>
        </c:ser>
        <c:ser>
          <c:idx val="4"/>
          <c:order val="4"/>
          <c:tx>
            <c:strRef>
              <c:f>Kick!$F$3</c:f>
              <c:strCache>
                <c:ptCount val="1"/>
                <c:pt idx="0">
                  <c:v>5. Contact the ball with the top of the foot</c:v>
                </c:pt>
              </c:strCache>
            </c:strRef>
          </c:tx>
          <c:spPr>
            <a:solidFill>
              <a:srgbClr val="8AD2F5"/>
            </a:solidFill>
            <a:ln>
              <a:noFill/>
              <a:prstDash val="solid"/>
            </a:ln>
          </c:spPr>
          <c:invertIfNegative val="1"/>
          <c:val>
            <c:numRef>
              <c:f>Kick!$F$35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CCAC-4E78-B2FD-296EDB6C0779}"/>
            </c:ext>
          </c:extLst>
        </c:ser>
        <c:ser>
          <c:idx val="5"/>
          <c:order val="5"/>
          <c:tx>
            <c:strRef>
              <c:f>Kick!$G$3</c:f>
              <c:strCache>
                <c:ptCount val="1"/>
                <c:pt idx="0">
                  <c:v>6. Forward and sideward swing of arm opposite kicking leg</c:v>
                </c:pt>
              </c:strCache>
            </c:strRef>
          </c:tx>
          <c:spPr>
            <a:solidFill>
              <a:srgbClr val="C4E8FA"/>
            </a:solidFill>
            <a:ln>
              <a:noFill/>
              <a:prstDash val="solid"/>
            </a:ln>
          </c:spPr>
          <c:invertIfNegative val="1"/>
          <c:val>
            <c:numRef>
              <c:f>Kick!$G$35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5-CCAC-4E78-B2FD-296EDB6C0779}"/>
            </c:ext>
          </c:extLst>
        </c:ser>
        <c:ser>
          <c:idx val="6"/>
          <c:order val="6"/>
          <c:tx>
            <c:strRef>
              <c:f>Kick!$H$3</c:f>
              <c:strCache>
                <c:ptCount val="1"/>
                <c:pt idx="0">
                  <c:v>7. Kicking leg follows through towards the target after ball contact</c:v>
                </c:pt>
              </c:strCache>
            </c:strRef>
          </c:tx>
          <c:spPr>
            <a:solidFill>
              <a:srgbClr val="042636"/>
            </a:solidFill>
            <a:ln>
              <a:noFill/>
              <a:prstDash val="solid"/>
            </a:ln>
          </c:spPr>
          <c:invertIfNegative val="1"/>
          <c:val>
            <c:numRef>
              <c:f>Kick!$H$35</c:f>
              <c:numCache>
                <c:formatCode>General</c:formatCode>
                <c:ptCount val="1"/>
                <c:pt idx="0">
                  <c:v>30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6-CCAC-4E78-B2FD-296EDB6C0779}"/>
            </c:ext>
          </c:extLst>
        </c:ser>
        <c:dLbls>
          <c:showLegendKey val="0"/>
          <c:showVal val="0"/>
          <c:showCatName val="0"/>
          <c:showSerName val="0"/>
          <c:showPercent val="0"/>
          <c:showBubbleSize val="0"/>
        </c:dLbls>
        <c:gapWidth val="150"/>
        <c:axId val="320607142"/>
        <c:axId val="1645926075"/>
      </c:barChart>
      <c:catAx>
        <c:axId val="320607142"/>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645926075"/>
        <c:crosses val="autoZero"/>
        <c:auto val="1"/>
        <c:lblAlgn val="ctr"/>
        <c:lblOffset val="100"/>
        <c:noMultiLvlLbl val="1"/>
      </c:catAx>
      <c:valAx>
        <c:axId val="1645926075"/>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20607142"/>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6EC9-4AE2-965C-35FEC3C4B34C}"/>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6EC9-4AE2-965C-35FEC3C4B34C}"/>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6EC9-4AE2-965C-35FEC3C4B34C}"/>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6EC9-4AE2-965C-35FEC3C4B34C}"/>
              </c:ext>
            </c:extLst>
          </c:dPt>
          <c:cat>
            <c:strRef>
              <c:f>Punt!$K$39:$K$42</c:f>
              <c:strCache>
                <c:ptCount val="4"/>
                <c:pt idx="0">
                  <c:v>Beginning</c:v>
                </c:pt>
                <c:pt idx="1">
                  <c:v>Progressing</c:v>
                </c:pt>
                <c:pt idx="2">
                  <c:v>Achieving </c:v>
                </c:pt>
                <c:pt idx="3">
                  <c:v>Excelling</c:v>
                </c:pt>
              </c:strCache>
            </c:strRef>
          </c:cat>
          <c:val>
            <c:numRef>
              <c:f>Punt!$L$39:$L$42</c:f>
              <c:numCache>
                <c:formatCode>General</c:formatCode>
                <c:ptCount val="4"/>
                <c:pt idx="0">
                  <c:v>26</c:v>
                </c:pt>
                <c:pt idx="1">
                  <c:v>0</c:v>
                </c:pt>
                <c:pt idx="2">
                  <c:v>0</c:v>
                </c:pt>
                <c:pt idx="3">
                  <c:v>0</c:v>
                </c:pt>
              </c:numCache>
            </c:numRef>
          </c:val>
          <c:extLst>
            <c:ext xmlns:c16="http://schemas.microsoft.com/office/drawing/2014/chart" uri="{C3380CC4-5D6E-409C-BE32-E72D297353CC}">
              <c16:uniqueId val="{00000008-6EC9-4AE2-965C-35FEC3C4B34C}"/>
            </c:ext>
          </c:extLst>
        </c:ser>
        <c:dLbls>
          <c:showLegendKey val="0"/>
          <c:showVal val="0"/>
          <c:showCatName val="0"/>
          <c:showSerName val="0"/>
          <c:showPercent val="0"/>
          <c:showBubbleSize val="0"/>
        </c:dLbls>
        <c:gapWidth val="150"/>
        <c:axId val="899750282"/>
        <c:axId val="1888061485"/>
      </c:barChart>
      <c:catAx>
        <c:axId val="899750282"/>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888061485"/>
        <c:crosses val="autoZero"/>
        <c:auto val="1"/>
        <c:lblAlgn val="ctr"/>
        <c:lblOffset val="100"/>
        <c:noMultiLvlLbl val="1"/>
      </c:catAx>
      <c:valAx>
        <c:axId val="1888061485"/>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899750282"/>
        <c:crosses val="autoZero"/>
        <c:crossBetween val="between"/>
      </c:valAx>
    </c:plotArea>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Punt!$B$3</c:f>
              <c:strCache>
                <c:ptCount val="1"/>
                <c:pt idx="0">
                  <c:v>1. Eyes are focused on the ball throughout the punt</c:v>
                </c:pt>
              </c:strCache>
            </c:strRef>
          </c:tx>
          <c:spPr>
            <a:solidFill>
              <a:srgbClr val="073F5A"/>
            </a:solidFill>
            <a:ln>
              <a:noFill/>
              <a:prstDash val="solid"/>
            </a:ln>
          </c:spPr>
          <c:invertIfNegative val="1"/>
          <c:val>
            <c:numRef>
              <c:f>Punt!$B$35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338-4EEE-9825-D2799DB203EA}"/>
            </c:ext>
          </c:extLst>
        </c:ser>
        <c:ser>
          <c:idx val="1"/>
          <c:order val="1"/>
          <c:tx>
            <c:strRef>
              <c:f>Punt!$C$3</c:f>
              <c:strCache>
                <c:ptCount val="1"/>
                <c:pt idx="0">
                  <c:v>2. Ball held at about hip height in front of punting</c:v>
                </c:pt>
              </c:strCache>
            </c:strRef>
          </c:tx>
          <c:spPr>
            <a:solidFill>
              <a:srgbClr val="0B5E87"/>
            </a:solidFill>
            <a:ln>
              <a:noFill/>
              <a:prstDash val="solid"/>
            </a:ln>
          </c:spPr>
          <c:invertIfNegative val="1"/>
          <c:val>
            <c:numRef>
              <c:f>Punt!$C$35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5338-4EEE-9825-D2799DB203EA}"/>
            </c:ext>
          </c:extLst>
        </c:ser>
        <c:ser>
          <c:idx val="2"/>
          <c:order val="2"/>
          <c:tx>
            <c:strRef>
              <c:f>Punt!$D$3</c:f>
              <c:strCache>
                <c:ptCount val="1"/>
                <c:pt idx="0">
                  <c:v>3. Step forward onto non-punting foot</c:v>
                </c:pt>
              </c:strCache>
            </c:strRef>
          </c:tx>
          <c:spPr>
            <a:solidFill>
              <a:srgbClr val="0F7EB4"/>
            </a:solidFill>
            <a:ln>
              <a:noFill/>
              <a:prstDash val="solid"/>
            </a:ln>
          </c:spPr>
          <c:invertIfNegative val="1"/>
          <c:val>
            <c:numRef>
              <c:f>Punt!$D$35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5338-4EEE-9825-D2799DB203EA}"/>
            </c:ext>
          </c:extLst>
        </c:ser>
        <c:ser>
          <c:idx val="3"/>
          <c:order val="3"/>
          <c:tx>
            <c:strRef>
              <c:f>Punt!$E$3</c:f>
              <c:strCache>
                <c:ptCount val="1"/>
                <c:pt idx="0">
                  <c:v>4. Bend knee of kicking leg during the backswing for the punt </c:v>
                </c:pt>
              </c:strCache>
            </c:strRef>
          </c:tx>
          <c:spPr>
            <a:solidFill>
              <a:srgbClr val="50BCF0"/>
            </a:solidFill>
            <a:ln>
              <a:noFill/>
              <a:prstDash val="solid"/>
            </a:ln>
          </c:spPr>
          <c:invertIfNegative val="1"/>
          <c:val>
            <c:numRef>
              <c:f>Punt!$E$35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5338-4EEE-9825-D2799DB203EA}"/>
            </c:ext>
          </c:extLst>
        </c:ser>
        <c:ser>
          <c:idx val="4"/>
          <c:order val="4"/>
          <c:tx>
            <c:strRef>
              <c:f>Punt!$F$3</c:f>
              <c:strCache>
                <c:ptCount val="1"/>
                <c:pt idx="0">
                  <c:v>5. Hip extension and knee flexion of at least 90º during preliminary punting movement</c:v>
                </c:pt>
              </c:strCache>
            </c:strRef>
          </c:tx>
          <c:spPr>
            <a:solidFill>
              <a:srgbClr val="8AD2F5"/>
            </a:solidFill>
            <a:ln>
              <a:noFill/>
              <a:prstDash val="solid"/>
            </a:ln>
          </c:spPr>
          <c:invertIfNegative val="1"/>
          <c:val>
            <c:numRef>
              <c:f>Punt!$F$35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4-5338-4EEE-9825-D2799DB203EA}"/>
            </c:ext>
          </c:extLst>
        </c:ser>
        <c:ser>
          <c:idx val="5"/>
          <c:order val="5"/>
          <c:tx>
            <c:strRef>
              <c:f>Punt!$G$3</c:f>
              <c:strCache>
                <c:ptCount val="1"/>
                <c:pt idx="0">
                  <c:v>6. Guide ball down, with one hand, so it makes contact with the top of the foot</c:v>
                </c:pt>
              </c:strCache>
            </c:strRef>
          </c:tx>
          <c:spPr>
            <a:solidFill>
              <a:srgbClr val="C4E8FA"/>
            </a:solidFill>
            <a:ln>
              <a:noFill/>
              <a:prstDash val="solid"/>
            </a:ln>
          </c:spPr>
          <c:invertIfNegative val="1"/>
          <c:val>
            <c:numRef>
              <c:f>Punt!$G$35</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5-5338-4EEE-9825-D2799DB203EA}"/>
            </c:ext>
          </c:extLst>
        </c:ser>
        <c:ser>
          <c:idx val="6"/>
          <c:order val="6"/>
          <c:tx>
            <c:strRef>
              <c:f>Punt!$H$3</c:f>
              <c:strCache>
                <c:ptCount val="1"/>
                <c:pt idx="0">
                  <c:v>7. Forward and sideward swing of arm opposite punting leg</c:v>
                </c:pt>
              </c:strCache>
            </c:strRef>
          </c:tx>
          <c:spPr>
            <a:solidFill>
              <a:srgbClr val="042636"/>
            </a:solidFill>
            <a:ln>
              <a:noFill/>
              <a:prstDash val="solid"/>
            </a:ln>
          </c:spPr>
          <c:invertIfNegative val="1"/>
          <c:val>
            <c:numRef>
              <c:f>Punt!$H$35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6-5338-4EEE-9825-D2799DB203EA}"/>
            </c:ext>
          </c:extLst>
        </c:ser>
        <c:ser>
          <c:idx val="7"/>
          <c:order val="7"/>
          <c:tx>
            <c:strRef>
              <c:f>Punt!$I$3</c:f>
              <c:strCache>
                <c:ptCount val="1"/>
                <c:pt idx="0">
                  <c:v>8. Punting leg follows through towards the target after ball contact</c:v>
                </c:pt>
              </c:strCache>
            </c:strRef>
          </c:tx>
          <c:spPr>
            <a:solidFill>
              <a:srgbClr val="073851"/>
            </a:solidFill>
            <a:ln>
              <a:noFill/>
              <a:prstDash val="solid"/>
            </a:ln>
          </c:spPr>
          <c:invertIfNegative val="1"/>
          <c:val>
            <c:numRef>
              <c:f>Punt!$I$35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7-5338-4EEE-9825-D2799DB203EA}"/>
            </c:ext>
          </c:extLst>
        </c:ser>
        <c:dLbls>
          <c:showLegendKey val="0"/>
          <c:showVal val="0"/>
          <c:showCatName val="0"/>
          <c:showSerName val="0"/>
          <c:showPercent val="0"/>
          <c:showBubbleSize val="0"/>
        </c:dLbls>
        <c:gapWidth val="150"/>
        <c:axId val="457141445"/>
        <c:axId val="450225803"/>
      </c:barChart>
      <c:catAx>
        <c:axId val="457141445"/>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450225803"/>
        <c:crosses val="autoZero"/>
        <c:auto val="1"/>
        <c:lblAlgn val="ctr"/>
        <c:lblOffset val="100"/>
        <c:noMultiLvlLbl val="1"/>
      </c:catAx>
      <c:valAx>
        <c:axId val="450225803"/>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457141445"/>
        <c:crosses val="autoZero"/>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Bounce!$B$3</c:f>
              <c:strCache>
                <c:ptCount val="1"/>
                <c:pt idx="0">
                  <c:v>1. Eyes focused forward throughout the bounce</c:v>
                </c:pt>
              </c:strCache>
            </c:strRef>
          </c:tx>
          <c:spPr>
            <a:solidFill>
              <a:schemeClr val="accent1"/>
            </a:solidFill>
            <a:ln>
              <a:noFill/>
              <a:prstDash val="solid"/>
            </a:ln>
          </c:spPr>
          <c:invertIfNegative val="0"/>
          <c:val>
            <c:numRef>
              <c:f>Bounce!$B$35</c:f>
              <c:numCache>
                <c:formatCode>General</c:formatCode>
                <c:ptCount val="1"/>
                <c:pt idx="0">
                  <c:v>23</c:v>
                </c:pt>
              </c:numCache>
            </c:numRef>
          </c:val>
          <c:extLst>
            <c:ext xmlns:c16="http://schemas.microsoft.com/office/drawing/2014/chart" uri="{C3380CC4-5D6E-409C-BE32-E72D297353CC}">
              <c16:uniqueId val="{00000000-BAE1-49F3-B585-0FD81F33EC4C}"/>
            </c:ext>
          </c:extLst>
        </c:ser>
        <c:ser>
          <c:idx val="1"/>
          <c:order val="1"/>
          <c:tx>
            <c:strRef>
              <c:f>Bounce!$C$3</c:f>
              <c:strCache>
                <c:ptCount val="1"/>
                <c:pt idx="0">
                  <c:v>2. Contact the ball with the fingers of one hand at about hip height</c:v>
                </c:pt>
              </c:strCache>
            </c:strRef>
          </c:tx>
          <c:spPr>
            <a:solidFill>
              <a:schemeClr val="accent2"/>
            </a:solidFill>
            <a:ln>
              <a:noFill/>
              <a:prstDash val="solid"/>
            </a:ln>
          </c:spPr>
          <c:invertIfNegative val="0"/>
          <c:val>
            <c:numRef>
              <c:f>Bounce!$C$35</c:f>
              <c:numCache>
                <c:formatCode>General</c:formatCode>
                <c:ptCount val="1"/>
                <c:pt idx="0">
                  <c:v>14</c:v>
                </c:pt>
              </c:numCache>
            </c:numRef>
          </c:val>
          <c:extLst>
            <c:ext xmlns:c16="http://schemas.microsoft.com/office/drawing/2014/chart" uri="{C3380CC4-5D6E-409C-BE32-E72D297353CC}">
              <c16:uniqueId val="{00000001-BAE1-49F3-B585-0FD81F33EC4C}"/>
            </c:ext>
          </c:extLst>
        </c:ser>
        <c:ser>
          <c:idx val="2"/>
          <c:order val="2"/>
          <c:tx>
            <c:strRef>
              <c:f>Bounce!$D$3</c:f>
              <c:strCache>
                <c:ptCount val="1"/>
                <c:pt idx="0">
                  <c:v>3. Wrist and elbows bend then straighten to push the ball</c:v>
                </c:pt>
              </c:strCache>
            </c:strRef>
          </c:tx>
          <c:spPr>
            <a:solidFill>
              <a:schemeClr val="accent3"/>
            </a:solidFill>
            <a:ln>
              <a:noFill/>
              <a:prstDash val="solid"/>
            </a:ln>
          </c:spPr>
          <c:invertIfNegative val="0"/>
          <c:val>
            <c:numRef>
              <c:f>Bounce!$D$35</c:f>
              <c:numCache>
                <c:formatCode>General</c:formatCode>
                <c:ptCount val="1"/>
                <c:pt idx="0">
                  <c:v>22</c:v>
                </c:pt>
              </c:numCache>
            </c:numRef>
          </c:val>
          <c:extLst>
            <c:ext xmlns:c16="http://schemas.microsoft.com/office/drawing/2014/chart" uri="{C3380CC4-5D6E-409C-BE32-E72D297353CC}">
              <c16:uniqueId val="{00000002-BAE1-49F3-B585-0FD81F33EC4C}"/>
            </c:ext>
          </c:extLst>
        </c:ser>
        <c:ser>
          <c:idx val="3"/>
          <c:order val="3"/>
          <c:tx>
            <c:strRef>
              <c:f>Bounce!$E$3</c:f>
              <c:strCache>
                <c:ptCount val="1"/>
                <c:pt idx="0">
                  <c:v>4. Hips and knees slightly flexed during the bounce</c:v>
                </c:pt>
              </c:strCache>
            </c:strRef>
          </c:tx>
          <c:spPr>
            <a:solidFill>
              <a:schemeClr val="accent4"/>
            </a:solidFill>
            <a:ln>
              <a:noFill/>
              <a:prstDash val="solid"/>
            </a:ln>
          </c:spPr>
          <c:invertIfNegative val="0"/>
          <c:val>
            <c:numRef>
              <c:f>Bounce!$E$35</c:f>
              <c:numCache>
                <c:formatCode>General</c:formatCode>
                <c:ptCount val="1"/>
                <c:pt idx="0">
                  <c:v>22</c:v>
                </c:pt>
              </c:numCache>
            </c:numRef>
          </c:val>
          <c:extLst>
            <c:ext xmlns:c16="http://schemas.microsoft.com/office/drawing/2014/chart" uri="{C3380CC4-5D6E-409C-BE32-E72D297353CC}">
              <c16:uniqueId val="{00000003-BAE1-49F3-B585-0FD81F33EC4C}"/>
            </c:ext>
          </c:extLst>
        </c:ser>
        <c:ser>
          <c:idx val="4"/>
          <c:order val="4"/>
          <c:tx>
            <c:strRef>
              <c:f>Bounce!$F$3</c:f>
              <c:strCache>
                <c:ptCount val="1"/>
                <c:pt idx="0">
                  <c:v>5. Ball bounces in front of and to the side of the body</c:v>
                </c:pt>
              </c:strCache>
            </c:strRef>
          </c:tx>
          <c:spPr>
            <a:solidFill>
              <a:schemeClr val="accent5"/>
            </a:solidFill>
            <a:ln>
              <a:noFill/>
              <a:prstDash val="solid"/>
            </a:ln>
          </c:spPr>
          <c:invertIfNegative val="0"/>
          <c:val>
            <c:numRef>
              <c:f>Bounce!$F$35</c:f>
              <c:numCache>
                <c:formatCode>General</c:formatCode>
                <c:ptCount val="1"/>
                <c:pt idx="0">
                  <c:v>22</c:v>
                </c:pt>
              </c:numCache>
            </c:numRef>
          </c:val>
          <c:extLst>
            <c:ext xmlns:c16="http://schemas.microsoft.com/office/drawing/2014/chart" uri="{C3380CC4-5D6E-409C-BE32-E72D297353CC}">
              <c16:uniqueId val="{00000004-BAE1-49F3-B585-0FD81F33EC4C}"/>
            </c:ext>
          </c:extLst>
        </c:ser>
        <c:dLbls>
          <c:showLegendKey val="0"/>
          <c:showVal val="0"/>
          <c:showCatName val="0"/>
          <c:showSerName val="0"/>
          <c:showPercent val="0"/>
          <c:showBubbleSize val="0"/>
        </c:dLbls>
        <c:gapWidth val="150"/>
        <c:axId val="1127203604"/>
        <c:axId val="1975233879"/>
      </c:barChart>
      <c:catAx>
        <c:axId val="1127203604"/>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975233879"/>
        <c:crosses val="autoZero"/>
        <c:auto val="1"/>
        <c:lblAlgn val="ctr"/>
        <c:lblOffset val="100"/>
        <c:noMultiLvlLbl val="1"/>
      </c:catAx>
      <c:valAx>
        <c:axId val="1975233879"/>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127203604"/>
        <c:crosses val="autoZero"/>
        <c:crossBetween val="between"/>
      </c:valAx>
    </c:plotArea>
    <c:legend>
      <c:legendPos val="r"/>
      <c:overlay val="0"/>
      <c:spPr>
        <a:noFill/>
        <a:ln>
          <a:noFill/>
          <a:prstDash val="solid"/>
        </a:ln>
      </c:spPr>
      <c:txPr>
        <a:bodyPr rot="0" spcFirstLastPara="1" vertOverflow="ellipsis" vert="horz" wrap="square" anchor="ctr" anchorCtr="1"/>
        <a:lstStyle/>
        <a:p>
          <a:pPr lvl="0" rt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CEED-45FC-8861-28AD5FDDD1A5}"/>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CEED-45FC-8861-28AD5FDDD1A5}"/>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CEED-45FC-8861-28AD5FDDD1A5}"/>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CEED-45FC-8861-28AD5FDDD1A5}"/>
              </c:ext>
            </c:extLst>
          </c:dPt>
          <c:cat>
            <c:strRef>
              <c:f>Bounce!$H$39:$H$42</c:f>
              <c:strCache>
                <c:ptCount val="4"/>
                <c:pt idx="0">
                  <c:v>Beginning</c:v>
                </c:pt>
                <c:pt idx="1">
                  <c:v>Progressing</c:v>
                </c:pt>
                <c:pt idx="2">
                  <c:v>Achieving </c:v>
                </c:pt>
                <c:pt idx="3">
                  <c:v>Excelling</c:v>
                </c:pt>
              </c:strCache>
            </c:strRef>
          </c:cat>
          <c:val>
            <c:numRef>
              <c:f>Bounce!$I$39:$I$42</c:f>
              <c:numCache>
                <c:formatCode>General</c:formatCode>
                <c:ptCount val="4"/>
                <c:pt idx="0">
                  <c:v>4</c:v>
                </c:pt>
                <c:pt idx="1">
                  <c:v>12</c:v>
                </c:pt>
                <c:pt idx="2">
                  <c:v>10</c:v>
                </c:pt>
                <c:pt idx="3">
                  <c:v>0</c:v>
                </c:pt>
              </c:numCache>
            </c:numRef>
          </c:val>
          <c:extLst>
            <c:ext xmlns:c16="http://schemas.microsoft.com/office/drawing/2014/chart" uri="{C3380CC4-5D6E-409C-BE32-E72D297353CC}">
              <c16:uniqueId val="{00000008-CEED-45FC-8861-28AD5FDDD1A5}"/>
            </c:ext>
          </c:extLst>
        </c:ser>
        <c:dLbls>
          <c:showLegendKey val="0"/>
          <c:showVal val="0"/>
          <c:showCatName val="0"/>
          <c:showSerName val="0"/>
          <c:showPercent val="0"/>
          <c:showBubbleSize val="0"/>
        </c:dLbls>
        <c:gapWidth val="150"/>
        <c:axId val="887742969"/>
        <c:axId val="1560937363"/>
      </c:barChart>
      <c:catAx>
        <c:axId val="887742969"/>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560937363"/>
        <c:crosses val="autoZero"/>
        <c:auto val="1"/>
        <c:lblAlgn val="ctr"/>
        <c:lblOffset val="100"/>
        <c:noMultiLvlLbl val="1"/>
      </c:catAx>
      <c:valAx>
        <c:axId val="1560937363"/>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887742969"/>
        <c:crosses val="autoZero"/>
        <c:crossBetween val="between"/>
      </c:valAx>
    </c:plotArea>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4D6E-4DAC-B546-ED4956F54BDC}"/>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4D6E-4DAC-B546-ED4956F54BDC}"/>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4D6E-4DAC-B546-ED4956F54BDC}"/>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4D6E-4DAC-B546-ED4956F54BDC}"/>
              </c:ext>
            </c:extLst>
          </c:dPt>
          <c:cat>
            <c:strRef>
              <c:f>'Two-handed strike'!$K$39:$K$42</c:f>
              <c:strCache>
                <c:ptCount val="4"/>
                <c:pt idx="0">
                  <c:v>Beginning</c:v>
                </c:pt>
                <c:pt idx="1">
                  <c:v>Progressing</c:v>
                </c:pt>
                <c:pt idx="2">
                  <c:v>Achieving </c:v>
                </c:pt>
                <c:pt idx="3">
                  <c:v>Excelling</c:v>
                </c:pt>
              </c:strCache>
            </c:strRef>
          </c:cat>
          <c:val>
            <c:numRef>
              <c:f>'Two-handed strike'!$L$39:$L$42</c:f>
              <c:numCache>
                <c:formatCode>General</c:formatCode>
                <c:ptCount val="4"/>
                <c:pt idx="0">
                  <c:v>26</c:v>
                </c:pt>
                <c:pt idx="1">
                  <c:v>0</c:v>
                </c:pt>
                <c:pt idx="2">
                  <c:v>0</c:v>
                </c:pt>
                <c:pt idx="3">
                  <c:v>0</c:v>
                </c:pt>
              </c:numCache>
            </c:numRef>
          </c:val>
          <c:extLst>
            <c:ext xmlns:c16="http://schemas.microsoft.com/office/drawing/2014/chart" uri="{C3380CC4-5D6E-409C-BE32-E72D297353CC}">
              <c16:uniqueId val="{00000008-4D6E-4DAC-B546-ED4956F54BDC}"/>
            </c:ext>
          </c:extLst>
        </c:ser>
        <c:dLbls>
          <c:showLegendKey val="0"/>
          <c:showVal val="0"/>
          <c:showCatName val="0"/>
          <c:showSerName val="0"/>
          <c:showPercent val="0"/>
          <c:showBubbleSize val="0"/>
        </c:dLbls>
        <c:gapWidth val="150"/>
        <c:axId val="706966067"/>
        <c:axId val="852794789"/>
      </c:barChart>
      <c:catAx>
        <c:axId val="706966067"/>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852794789"/>
        <c:crosses val="autoZero"/>
        <c:auto val="1"/>
        <c:lblAlgn val="ctr"/>
        <c:lblOffset val="100"/>
        <c:noMultiLvlLbl val="1"/>
      </c:catAx>
      <c:valAx>
        <c:axId val="852794789"/>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706966067"/>
        <c:crosses val="autoZero"/>
        <c:crossBetween val="between"/>
      </c:valAx>
    </c:plotArea>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'Two-handed strike'!$B$3</c:f>
              <c:strCache>
                <c:ptCount val="1"/>
                <c:pt idx="0">
                  <c:v>1. Eyes are focused on the ball throughout the strike</c:v>
                </c:pt>
              </c:strCache>
            </c:strRef>
          </c:tx>
          <c:spPr>
            <a:solidFill>
              <a:srgbClr val="073F5A"/>
            </a:solidFill>
            <a:ln>
              <a:noFill/>
              <a:prstDash val="solid"/>
            </a:ln>
          </c:spPr>
          <c:invertIfNegative val="1"/>
          <c:val>
            <c:numRef>
              <c:f>'Two-handed strike'!$B$35</c:f>
              <c:numCache>
                <c:formatCode>General</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FD1-476A-AA02-7C5BC893CE3E}"/>
            </c:ext>
          </c:extLst>
        </c:ser>
        <c:ser>
          <c:idx val="1"/>
          <c:order val="1"/>
          <c:tx>
            <c:strRef>
              <c:f>'Two-handed strike'!$C$3</c:f>
              <c:strCache>
                <c:ptCount val="1"/>
                <c:pt idx="0">
                  <c:v>2. Preferred hand grips bat above non-preferred hand</c:v>
                </c:pt>
              </c:strCache>
            </c:strRef>
          </c:tx>
          <c:spPr>
            <a:solidFill>
              <a:schemeClr val="accent2"/>
            </a:solidFill>
            <a:ln>
              <a:noFill/>
              <a:prstDash val="solid"/>
            </a:ln>
          </c:spPr>
          <c:invertIfNegative val="0"/>
          <c:val>
            <c:numRef>
              <c:f>'Two-handed strike'!$C$35</c:f>
              <c:numCache>
                <c:formatCode>General</c:formatCode>
                <c:ptCount val="1"/>
                <c:pt idx="0">
                  <c:v>0</c:v>
                </c:pt>
              </c:numCache>
            </c:numRef>
          </c:val>
          <c:extLst>
            <c:ext xmlns:c16="http://schemas.microsoft.com/office/drawing/2014/chart" uri="{C3380CC4-5D6E-409C-BE32-E72D297353CC}">
              <c16:uniqueId val="{00000001-3FD1-476A-AA02-7C5BC893CE3E}"/>
            </c:ext>
          </c:extLst>
        </c:ser>
        <c:ser>
          <c:idx val="2"/>
          <c:order val="2"/>
          <c:tx>
            <c:strRef>
              <c:f>'Two-handed strike'!$D$3</c:f>
              <c:strCache>
                <c:ptCount val="1"/>
                <c:pt idx="0">
                  <c:v>3. Stands side-on to the target</c:v>
                </c:pt>
              </c:strCache>
            </c:strRef>
          </c:tx>
          <c:spPr>
            <a:solidFill>
              <a:schemeClr val="accent3"/>
            </a:solidFill>
            <a:ln>
              <a:noFill/>
              <a:prstDash val="solid"/>
            </a:ln>
          </c:spPr>
          <c:invertIfNegative val="0"/>
          <c:val>
            <c:numRef>
              <c:f>'Two-handed strike'!$D$35</c:f>
              <c:numCache>
                <c:formatCode>General</c:formatCode>
                <c:ptCount val="1"/>
                <c:pt idx="0">
                  <c:v>1</c:v>
                </c:pt>
              </c:numCache>
            </c:numRef>
          </c:val>
          <c:extLst>
            <c:ext xmlns:c16="http://schemas.microsoft.com/office/drawing/2014/chart" uri="{C3380CC4-5D6E-409C-BE32-E72D297353CC}">
              <c16:uniqueId val="{00000002-3FD1-476A-AA02-7C5BC893CE3E}"/>
            </c:ext>
          </c:extLst>
        </c:ser>
        <c:ser>
          <c:idx val="3"/>
          <c:order val="3"/>
          <c:tx>
            <c:strRef>
              <c:f>'Two-handed strike'!$E$3</c:f>
              <c:strCache>
                <c:ptCount val="1"/>
                <c:pt idx="0">
                  <c:v>4. Bat held behind shoulder prior to the strike</c:v>
                </c:pt>
              </c:strCache>
            </c:strRef>
          </c:tx>
          <c:spPr>
            <a:solidFill>
              <a:schemeClr val="accent4"/>
            </a:solidFill>
            <a:ln>
              <a:noFill/>
              <a:prstDash val="solid"/>
            </a:ln>
          </c:spPr>
          <c:invertIfNegative val="0"/>
          <c:val>
            <c:numRef>
              <c:f>'Two-handed strike'!$E$35</c:f>
              <c:numCache>
                <c:formatCode>General</c:formatCode>
                <c:ptCount val="1"/>
                <c:pt idx="0">
                  <c:v>1</c:v>
                </c:pt>
              </c:numCache>
            </c:numRef>
          </c:val>
          <c:extLst>
            <c:ext xmlns:c16="http://schemas.microsoft.com/office/drawing/2014/chart" uri="{C3380CC4-5D6E-409C-BE32-E72D297353CC}">
              <c16:uniqueId val="{00000003-3FD1-476A-AA02-7C5BC893CE3E}"/>
            </c:ext>
          </c:extLst>
        </c:ser>
        <c:ser>
          <c:idx val="4"/>
          <c:order val="4"/>
          <c:tx>
            <c:strRef>
              <c:f>'Two-handed strike'!$F$3</c:f>
              <c:strCache>
                <c:ptCount val="1"/>
                <c:pt idx="0">
                  <c:v>5. Step towards target with foot opposite preferred hand during the strike</c:v>
                </c:pt>
              </c:strCache>
            </c:strRef>
          </c:tx>
          <c:spPr>
            <a:solidFill>
              <a:schemeClr val="accent5"/>
            </a:solidFill>
            <a:ln>
              <a:noFill/>
              <a:prstDash val="solid"/>
            </a:ln>
          </c:spPr>
          <c:invertIfNegative val="0"/>
          <c:val>
            <c:numRef>
              <c:f>'Two-handed strike'!$F$35</c:f>
              <c:numCache>
                <c:formatCode>General</c:formatCode>
                <c:ptCount val="1"/>
                <c:pt idx="0">
                  <c:v>1</c:v>
                </c:pt>
              </c:numCache>
            </c:numRef>
          </c:val>
          <c:extLst>
            <c:ext xmlns:c16="http://schemas.microsoft.com/office/drawing/2014/chart" uri="{C3380CC4-5D6E-409C-BE32-E72D297353CC}">
              <c16:uniqueId val="{00000004-3FD1-476A-AA02-7C5BC893CE3E}"/>
            </c:ext>
          </c:extLst>
        </c:ser>
        <c:ser>
          <c:idx val="5"/>
          <c:order val="5"/>
          <c:tx>
            <c:strRef>
              <c:f>'Two-handed strike'!$G$3</c:f>
              <c:strCache>
                <c:ptCount val="1"/>
                <c:pt idx="0">
                  <c:v>6. Marked sequential hip to shoulder rotation during the strike</c:v>
                </c:pt>
              </c:strCache>
            </c:strRef>
          </c:tx>
          <c:spPr>
            <a:solidFill>
              <a:schemeClr val="accent6"/>
            </a:solidFill>
            <a:ln>
              <a:noFill/>
              <a:prstDash val="solid"/>
            </a:ln>
          </c:spPr>
          <c:invertIfNegative val="0"/>
          <c:val>
            <c:numRef>
              <c:f>'Two-handed strike'!$G$35</c:f>
              <c:numCache>
                <c:formatCode>General</c:formatCode>
                <c:ptCount val="1"/>
                <c:pt idx="0">
                  <c:v>1</c:v>
                </c:pt>
              </c:numCache>
            </c:numRef>
          </c:val>
          <c:extLst>
            <c:ext xmlns:c16="http://schemas.microsoft.com/office/drawing/2014/chart" uri="{C3380CC4-5D6E-409C-BE32-E72D297353CC}">
              <c16:uniqueId val="{00000005-3FD1-476A-AA02-7C5BC893CE3E}"/>
            </c:ext>
          </c:extLst>
        </c:ser>
        <c:ser>
          <c:idx val="6"/>
          <c:order val="6"/>
          <c:tx>
            <c:strRef>
              <c:f>'Two-handed strike'!$H$3</c:f>
              <c:strCache>
                <c:ptCount val="1"/>
                <c:pt idx="0">
                  <c:v>7. Ball contact made opposite front foot with straight arms</c:v>
                </c:pt>
              </c:strCache>
            </c:strRef>
          </c:tx>
          <c:spPr>
            <a:solidFill>
              <a:schemeClr val="accent1">
                <a:lumMod val="60000"/>
              </a:schemeClr>
            </a:solidFill>
            <a:ln>
              <a:noFill/>
              <a:prstDash val="solid"/>
            </a:ln>
          </c:spPr>
          <c:invertIfNegative val="0"/>
          <c:val>
            <c:numRef>
              <c:f>'Two-handed strike'!$H$35</c:f>
              <c:numCache>
                <c:formatCode>General</c:formatCode>
                <c:ptCount val="1"/>
                <c:pt idx="0">
                  <c:v>1</c:v>
                </c:pt>
              </c:numCache>
            </c:numRef>
          </c:val>
          <c:extLst>
            <c:ext xmlns:c16="http://schemas.microsoft.com/office/drawing/2014/chart" uri="{C3380CC4-5D6E-409C-BE32-E72D297353CC}">
              <c16:uniqueId val="{00000006-3FD1-476A-AA02-7C5BC893CE3E}"/>
            </c:ext>
          </c:extLst>
        </c:ser>
        <c:ser>
          <c:idx val="7"/>
          <c:order val="7"/>
          <c:tx>
            <c:strRef>
              <c:f>'Two-handed strike'!$I$3</c:f>
              <c:strCache>
                <c:ptCount val="1"/>
                <c:pt idx="0">
                  <c:v>8. Follow through with bat around body</c:v>
                </c:pt>
              </c:strCache>
            </c:strRef>
          </c:tx>
          <c:spPr>
            <a:solidFill>
              <a:schemeClr val="accent2">
                <a:lumMod val="60000"/>
              </a:schemeClr>
            </a:solidFill>
            <a:ln>
              <a:noFill/>
              <a:prstDash val="solid"/>
            </a:ln>
          </c:spPr>
          <c:invertIfNegative val="0"/>
          <c:val>
            <c:numRef>
              <c:f>'Two-handed strike'!$I$35</c:f>
              <c:numCache>
                <c:formatCode>General</c:formatCode>
                <c:ptCount val="1"/>
                <c:pt idx="0">
                  <c:v>1</c:v>
                </c:pt>
              </c:numCache>
            </c:numRef>
          </c:val>
          <c:extLst>
            <c:ext xmlns:c16="http://schemas.microsoft.com/office/drawing/2014/chart" uri="{C3380CC4-5D6E-409C-BE32-E72D297353CC}">
              <c16:uniqueId val="{00000007-3FD1-476A-AA02-7C5BC893CE3E}"/>
            </c:ext>
          </c:extLst>
        </c:ser>
        <c:dLbls>
          <c:showLegendKey val="0"/>
          <c:showVal val="0"/>
          <c:showCatName val="0"/>
          <c:showSerName val="0"/>
          <c:showPercent val="0"/>
          <c:showBubbleSize val="0"/>
        </c:dLbls>
        <c:gapWidth val="150"/>
        <c:axId val="1163611517"/>
        <c:axId val="1032256178"/>
      </c:barChart>
      <c:catAx>
        <c:axId val="1163611517"/>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032256178"/>
        <c:crosses val="autoZero"/>
        <c:auto val="1"/>
        <c:lblAlgn val="ctr"/>
        <c:lblOffset val="100"/>
        <c:noMultiLvlLbl val="1"/>
      </c:catAx>
      <c:valAx>
        <c:axId val="1032256178"/>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163611517"/>
        <c:crosses val="autoZero"/>
        <c:crossBetween val="between"/>
      </c:valAx>
    </c:plotArea>
    <c:legend>
      <c:legendPos val="r"/>
      <c:overlay val="0"/>
      <c:spPr>
        <a:noFill/>
        <a:ln>
          <a:noFill/>
          <a:prstDash val="solid"/>
        </a:ln>
      </c:spPr>
      <c:txPr>
        <a:bodyPr rot="0" spcFirstLastPara="1" vertOverflow="ellipsis" vert="horz" wrap="square" anchor="ctr" anchorCtr="1"/>
        <a:lstStyle/>
        <a:p>
          <a:pPr lvl="0" rt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3DE7-47D1-9200-119F9AEC92C2}"/>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3DE7-47D1-9200-119F9AEC92C2}"/>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3DE7-47D1-9200-119F9AEC92C2}"/>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3DE7-47D1-9200-119F9AEC92C2}"/>
              </c:ext>
            </c:extLst>
          </c:dPt>
          <c:cat>
            <c:strRef>
              <c:f>'Forehand strike'!$J$39:$J$42</c:f>
              <c:strCache>
                <c:ptCount val="4"/>
                <c:pt idx="0">
                  <c:v>Beginning</c:v>
                </c:pt>
                <c:pt idx="1">
                  <c:v>Progressing</c:v>
                </c:pt>
                <c:pt idx="2">
                  <c:v>Achieving </c:v>
                </c:pt>
                <c:pt idx="3">
                  <c:v>Excelling</c:v>
                </c:pt>
              </c:strCache>
            </c:strRef>
          </c:cat>
          <c:val>
            <c:numRef>
              <c:f>'Forehand strike'!$K$39:$K$42</c:f>
              <c:numCache>
                <c:formatCode>General</c:formatCode>
                <c:ptCount val="4"/>
                <c:pt idx="0">
                  <c:v>26</c:v>
                </c:pt>
                <c:pt idx="1">
                  <c:v>0</c:v>
                </c:pt>
                <c:pt idx="2">
                  <c:v>0</c:v>
                </c:pt>
                <c:pt idx="3">
                  <c:v>0</c:v>
                </c:pt>
              </c:numCache>
            </c:numRef>
          </c:val>
          <c:extLst>
            <c:ext xmlns:c16="http://schemas.microsoft.com/office/drawing/2014/chart" uri="{C3380CC4-5D6E-409C-BE32-E72D297353CC}">
              <c16:uniqueId val="{00000008-3DE7-47D1-9200-119F9AEC92C2}"/>
            </c:ext>
          </c:extLst>
        </c:ser>
        <c:dLbls>
          <c:showLegendKey val="0"/>
          <c:showVal val="0"/>
          <c:showCatName val="0"/>
          <c:showSerName val="0"/>
          <c:showPercent val="0"/>
          <c:showBubbleSize val="0"/>
        </c:dLbls>
        <c:gapWidth val="150"/>
        <c:axId val="389509120"/>
        <c:axId val="647918630"/>
      </c:barChart>
      <c:catAx>
        <c:axId val="389509120"/>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647918630"/>
        <c:crosses val="autoZero"/>
        <c:auto val="1"/>
        <c:lblAlgn val="ctr"/>
        <c:lblOffset val="100"/>
        <c:noMultiLvlLbl val="1"/>
      </c:catAx>
      <c:valAx>
        <c:axId val="647918630"/>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89509120"/>
        <c:crosses val="autoZero"/>
        <c:crossBetween val="between"/>
      </c:valAx>
    </c:plotArea>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strRef>
              <c:f>'Forehand strike'!$B$3</c:f>
              <c:strCache>
                <c:ptCount val="1"/>
                <c:pt idx="0">
                  <c:v>1. Eyes are focused on the ball throughout the strike</c:v>
                </c:pt>
              </c:strCache>
            </c:strRef>
          </c:tx>
          <c:spPr>
            <a:solidFill>
              <a:schemeClr val="accent1"/>
            </a:solidFill>
            <a:ln>
              <a:noFill/>
              <a:prstDash val="solid"/>
            </a:ln>
          </c:spPr>
          <c:invertIfNegative val="0"/>
          <c:val>
            <c:numRef>
              <c:f>'Forehand strike'!$B$35</c:f>
              <c:numCache>
                <c:formatCode>General</c:formatCode>
                <c:ptCount val="1"/>
                <c:pt idx="0">
                  <c:v>1</c:v>
                </c:pt>
              </c:numCache>
            </c:numRef>
          </c:val>
          <c:extLst>
            <c:ext xmlns:c16="http://schemas.microsoft.com/office/drawing/2014/chart" uri="{C3380CC4-5D6E-409C-BE32-E72D297353CC}">
              <c16:uniqueId val="{00000000-96CB-4850-8659-33165A92AE79}"/>
            </c:ext>
          </c:extLst>
        </c:ser>
        <c:ser>
          <c:idx val="1"/>
          <c:order val="1"/>
          <c:tx>
            <c:strRef>
              <c:f>'Forehand strike'!$C$3</c:f>
              <c:strCache>
                <c:ptCount val="1"/>
                <c:pt idx="0">
                  <c:v>2. Stand side-on to the target with bat held in one hand</c:v>
                </c:pt>
              </c:strCache>
            </c:strRef>
          </c:tx>
          <c:spPr>
            <a:solidFill>
              <a:schemeClr val="accent2"/>
            </a:solidFill>
            <a:ln>
              <a:noFill/>
              <a:prstDash val="solid"/>
            </a:ln>
          </c:spPr>
          <c:invertIfNegative val="0"/>
          <c:val>
            <c:numRef>
              <c:f>'Forehand strike'!$C$35</c:f>
              <c:numCache>
                <c:formatCode>General</c:formatCode>
                <c:ptCount val="1"/>
                <c:pt idx="0">
                  <c:v>0</c:v>
                </c:pt>
              </c:numCache>
            </c:numRef>
          </c:val>
          <c:extLst>
            <c:ext xmlns:c16="http://schemas.microsoft.com/office/drawing/2014/chart" uri="{C3380CC4-5D6E-409C-BE32-E72D297353CC}">
              <c16:uniqueId val="{00000001-96CB-4850-8659-33165A92AE79}"/>
            </c:ext>
          </c:extLst>
        </c:ser>
        <c:ser>
          <c:idx val="2"/>
          <c:order val="2"/>
          <c:tx>
            <c:strRef>
              <c:f>'Forehand strike'!$D$3</c:f>
              <c:strCache>
                <c:ptCount val="1"/>
                <c:pt idx="0">
                  <c:v>3. Striking hand nearly straightened behind shoulder at end of backswing</c:v>
                </c:pt>
              </c:strCache>
            </c:strRef>
          </c:tx>
          <c:spPr>
            <a:solidFill>
              <a:schemeClr val="accent3"/>
            </a:solidFill>
            <a:ln>
              <a:noFill/>
              <a:prstDash val="solid"/>
            </a:ln>
          </c:spPr>
          <c:invertIfNegative val="0"/>
          <c:val>
            <c:numRef>
              <c:f>'Forehand strike'!$D$35</c:f>
              <c:numCache>
                <c:formatCode>General</c:formatCode>
                <c:ptCount val="1"/>
                <c:pt idx="0">
                  <c:v>0</c:v>
                </c:pt>
              </c:numCache>
            </c:numRef>
          </c:val>
          <c:extLst>
            <c:ext xmlns:c16="http://schemas.microsoft.com/office/drawing/2014/chart" uri="{C3380CC4-5D6E-409C-BE32-E72D297353CC}">
              <c16:uniqueId val="{00000002-96CB-4850-8659-33165A92AE79}"/>
            </c:ext>
          </c:extLst>
        </c:ser>
        <c:ser>
          <c:idx val="3"/>
          <c:order val="3"/>
          <c:tx>
            <c:strRef>
              <c:f>'Forehand strike'!$E$3</c:f>
              <c:strCache>
                <c:ptCount val="1"/>
                <c:pt idx="0">
                  <c:v>4. Step towards target with foot opposite striking arm during the strike</c:v>
                </c:pt>
              </c:strCache>
            </c:strRef>
          </c:tx>
          <c:spPr>
            <a:solidFill>
              <a:schemeClr val="accent4"/>
            </a:solidFill>
            <a:ln>
              <a:noFill/>
              <a:prstDash val="solid"/>
            </a:ln>
          </c:spPr>
          <c:invertIfNegative val="0"/>
          <c:val>
            <c:numRef>
              <c:f>'Forehand strike'!$E$35</c:f>
              <c:numCache>
                <c:formatCode>General</c:formatCode>
                <c:ptCount val="1"/>
                <c:pt idx="0">
                  <c:v>0</c:v>
                </c:pt>
              </c:numCache>
            </c:numRef>
          </c:val>
          <c:extLst>
            <c:ext xmlns:c16="http://schemas.microsoft.com/office/drawing/2014/chart" uri="{C3380CC4-5D6E-409C-BE32-E72D297353CC}">
              <c16:uniqueId val="{00000003-96CB-4850-8659-33165A92AE79}"/>
            </c:ext>
          </c:extLst>
        </c:ser>
        <c:ser>
          <c:idx val="4"/>
          <c:order val="4"/>
          <c:tx>
            <c:strRef>
              <c:f>'Forehand strike'!$F$3</c:f>
              <c:strCache>
                <c:ptCount val="1"/>
                <c:pt idx="0">
                  <c:v>5. Marked sequential hip to shoulder rotation during the strike</c:v>
                </c:pt>
              </c:strCache>
            </c:strRef>
          </c:tx>
          <c:spPr>
            <a:solidFill>
              <a:schemeClr val="accent5"/>
            </a:solidFill>
            <a:ln>
              <a:noFill/>
              <a:prstDash val="solid"/>
            </a:ln>
          </c:spPr>
          <c:invertIfNegative val="0"/>
          <c:val>
            <c:numRef>
              <c:f>'Forehand strike'!$F$35</c:f>
              <c:numCache>
                <c:formatCode>General</c:formatCode>
                <c:ptCount val="1"/>
                <c:pt idx="0">
                  <c:v>0</c:v>
                </c:pt>
              </c:numCache>
            </c:numRef>
          </c:val>
          <c:extLst>
            <c:ext xmlns:c16="http://schemas.microsoft.com/office/drawing/2014/chart" uri="{C3380CC4-5D6E-409C-BE32-E72D297353CC}">
              <c16:uniqueId val="{00000004-96CB-4850-8659-33165A92AE79}"/>
            </c:ext>
          </c:extLst>
        </c:ser>
        <c:ser>
          <c:idx val="5"/>
          <c:order val="5"/>
          <c:tx>
            <c:strRef>
              <c:f>'Forehand strike'!$G$3</c:f>
              <c:strCache>
                <c:ptCount val="1"/>
                <c:pt idx="0">
                  <c:v>6. Ball contact made opposite front foot with straight arm</c:v>
                </c:pt>
              </c:strCache>
            </c:strRef>
          </c:tx>
          <c:spPr>
            <a:solidFill>
              <a:schemeClr val="accent6"/>
            </a:solidFill>
            <a:ln>
              <a:noFill/>
              <a:prstDash val="solid"/>
            </a:ln>
          </c:spPr>
          <c:invertIfNegative val="0"/>
          <c:val>
            <c:numRef>
              <c:f>'Forehand strike'!$G$35</c:f>
              <c:numCache>
                <c:formatCode>General</c:formatCode>
                <c:ptCount val="1"/>
                <c:pt idx="0">
                  <c:v>0</c:v>
                </c:pt>
              </c:numCache>
            </c:numRef>
          </c:val>
          <c:extLst>
            <c:ext xmlns:c16="http://schemas.microsoft.com/office/drawing/2014/chart" uri="{C3380CC4-5D6E-409C-BE32-E72D297353CC}">
              <c16:uniqueId val="{00000005-96CB-4850-8659-33165A92AE79}"/>
            </c:ext>
          </c:extLst>
        </c:ser>
        <c:ser>
          <c:idx val="6"/>
          <c:order val="6"/>
          <c:tx>
            <c:strRef>
              <c:f>'Forehand strike'!$H$3</c:f>
              <c:strCache>
                <c:ptCount val="1"/>
                <c:pt idx="0">
                  <c:v>7. Follow through towards the target then around body</c:v>
                </c:pt>
              </c:strCache>
            </c:strRef>
          </c:tx>
          <c:spPr>
            <a:solidFill>
              <a:schemeClr val="accent1">
                <a:lumMod val="60000"/>
              </a:schemeClr>
            </a:solidFill>
            <a:ln>
              <a:noFill/>
              <a:prstDash val="solid"/>
            </a:ln>
          </c:spPr>
          <c:invertIfNegative val="0"/>
          <c:val>
            <c:numRef>
              <c:f>'Forehand strike'!$H$35</c:f>
              <c:numCache>
                <c:formatCode>General</c:formatCode>
                <c:ptCount val="1"/>
                <c:pt idx="0">
                  <c:v>0</c:v>
                </c:pt>
              </c:numCache>
            </c:numRef>
          </c:val>
          <c:extLst>
            <c:ext xmlns:c16="http://schemas.microsoft.com/office/drawing/2014/chart" uri="{C3380CC4-5D6E-409C-BE32-E72D297353CC}">
              <c16:uniqueId val="{00000006-96CB-4850-8659-33165A92AE79}"/>
            </c:ext>
          </c:extLst>
        </c:ser>
        <c:dLbls>
          <c:showLegendKey val="0"/>
          <c:showVal val="0"/>
          <c:showCatName val="0"/>
          <c:showSerName val="0"/>
          <c:showPercent val="0"/>
          <c:showBubbleSize val="0"/>
        </c:dLbls>
        <c:gapWidth val="150"/>
        <c:axId val="1138578426"/>
        <c:axId val="851504157"/>
      </c:barChart>
      <c:catAx>
        <c:axId val="1138578426"/>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851504157"/>
        <c:crosses val="autoZero"/>
        <c:auto val="1"/>
        <c:lblAlgn val="ctr"/>
        <c:lblOffset val="100"/>
        <c:noMultiLvlLbl val="1"/>
      </c:catAx>
      <c:valAx>
        <c:axId val="851504157"/>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1138578426"/>
        <c:crosses val="autoZero"/>
        <c:crossBetween val="between"/>
      </c:valAx>
    </c:plotArea>
    <c:legend>
      <c:legendPos val="r"/>
      <c:overlay val="0"/>
      <c:spPr>
        <a:noFill/>
        <a:ln>
          <a:noFill/>
          <a:prstDash val="solid"/>
        </a:ln>
      </c:spPr>
      <c:txPr>
        <a:bodyPr rot="0" spcFirstLastPara="1" vertOverflow="ellipsis" vert="horz" wrap="square" anchor="ctr" anchorCtr="1"/>
        <a:lstStyle/>
        <a:p>
          <a:pPr lvl="0" rt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prstDash val="solid"/>
        </a:ln>
      </c:spPr>
    </c:title>
    <c:autoTitleDeleted val="0"/>
    <c:plotArea>
      <c:layout/>
      <c:barChart>
        <c:barDir val="col"/>
        <c:grouping val="clustered"/>
        <c:varyColors val="1"/>
        <c:ser>
          <c:idx val="0"/>
          <c:order val="0"/>
          <c:spPr>
            <a:ln>
              <a:prstDash val="solid"/>
            </a:ln>
          </c:spPr>
          <c:invertIfNegative val="1"/>
          <c:dPt>
            <c:idx val="0"/>
            <c:invertIfNegative val="1"/>
            <c:bubble3D val="0"/>
            <c:spPr>
              <a:solidFill>
                <a:schemeClr val="accent1"/>
              </a:solidFill>
              <a:ln>
                <a:noFill/>
                <a:prstDash val="solid"/>
              </a:ln>
            </c:spPr>
            <c:extLst>
              <c:ext xmlns:c16="http://schemas.microsoft.com/office/drawing/2014/chart" uri="{C3380CC4-5D6E-409C-BE32-E72D297353CC}">
                <c16:uniqueId val="{00000001-078F-4EA6-82D9-1D0DB1F6F4AC}"/>
              </c:ext>
            </c:extLst>
          </c:dPt>
          <c:dPt>
            <c:idx val="1"/>
            <c:invertIfNegative val="1"/>
            <c:bubble3D val="0"/>
            <c:spPr>
              <a:solidFill>
                <a:schemeClr val="accent2"/>
              </a:solidFill>
              <a:ln>
                <a:noFill/>
                <a:prstDash val="solid"/>
              </a:ln>
            </c:spPr>
            <c:extLst>
              <c:ext xmlns:c16="http://schemas.microsoft.com/office/drawing/2014/chart" uri="{C3380CC4-5D6E-409C-BE32-E72D297353CC}">
                <c16:uniqueId val="{00000003-078F-4EA6-82D9-1D0DB1F6F4AC}"/>
              </c:ext>
            </c:extLst>
          </c:dPt>
          <c:dPt>
            <c:idx val="2"/>
            <c:invertIfNegative val="1"/>
            <c:bubble3D val="0"/>
            <c:spPr>
              <a:solidFill>
                <a:schemeClr val="accent3"/>
              </a:solidFill>
              <a:ln>
                <a:noFill/>
                <a:prstDash val="solid"/>
              </a:ln>
            </c:spPr>
            <c:extLst>
              <c:ext xmlns:c16="http://schemas.microsoft.com/office/drawing/2014/chart" uri="{C3380CC4-5D6E-409C-BE32-E72D297353CC}">
                <c16:uniqueId val="{00000005-078F-4EA6-82D9-1D0DB1F6F4AC}"/>
              </c:ext>
            </c:extLst>
          </c:dPt>
          <c:dPt>
            <c:idx val="3"/>
            <c:invertIfNegative val="1"/>
            <c:bubble3D val="0"/>
            <c:spPr>
              <a:solidFill>
                <a:schemeClr val="accent4"/>
              </a:solidFill>
              <a:ln>
                <a:noFill/>
                <a:prstDash val="solid"/>
              </a:ln>
            </c:spPr>
            <c:extLst>
              <c:ext xmlns:c16="http://schemas.microsoft.com/office/drawing/2014/chart" uri="{C3380CC4-5D6E-409C-BE32-E72D297353CC}">
                <c16:uniqueId val="{00000007-078F-4EA6-82D9-1D0DB1F6F4AC}"/>
              </c:ext>
            </c:extLst>
          </c:dPt>
          <c:cat>
            <c:strRef>
              <c:f>[2]Run!$H$39:$H$42</c:f>
              <c:strCache>
                <c:ptCount val="4"/>
                <c:pt idx="0">
                  <c:v>Beginning</c:v>
                </c:pt>
                <c:pt idx="1">
                  <c:v>Progressing</c:v>
                </c:pt>
                <c:pt idx="2">
                  <c:v>Achieving </c:v>
                </c:pt>
                <c:pt idx="3">
                  <c:v>Excelling</c:v>
                </c:pt>
              </c:strCache>
            </c:strRef>
          </c:cat>
          <c:val>
            <c:numRef>
              <c:f>[2]Run!$I$39:$I$42</c:f>
              <c:numCache>
                <c:formatCode>General</c:formatCode>
                <c:ptCount val="4"/>
                <c:pt idx="0">
                  <c:v>15</c:v>
                </c:pt>
                <c:pt idx="1">
                  <c:v>4</c:v>
                </c:pt>
                <c:pt idx="2">
                  <c:v>9</c:v>
                </c:pt>
                <c:pt idx="3">
                  <c:v>2</c:v>
                </c:pt>
              </c:numCache>
            </c:numRef>
          </c:val>
          <c:extLst>
            <c:ext xmlns:c16="http://schemas.microsoft.com/office/drawing/2014/chart" uri="{C3380CC4-5D6E-409C-BE32-E72D297353CC}">
              <c16:uniqueId val="{00000008-078F-4EA6-82D9-1D0DB1F6F4AC}"/>
            </c:ext>
          </c:extLst>
        </c:ser>
        <c:dLbls>
          <c:showLegendKey val="0"/>
          <c:showVal val="0"/>
          <c:showCatName val="0"/>
          <c:showSerName val="0"/>
          <c:showPercent val="0"/>
          <c:showBubbleSize val="0"/>
        </c:dLbls>
        <c:gapWidth val="150"/>
        <c:axId val="314159999"/>
        <c:axId val="553244749"/>
      </c:barChart>
      <c:catAx>
        <c:axId val="314159999"/>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553244749"/>
        <c:crosses val="autoZero"/>
        <c:auto val="1"/>
        <c:lblAlgn val="ctr"/>
        <c:lblOffset val="100"/>
        <c:noMultiLvlLbl val="1"/>
      </c:catAx>
      <c:valAx>
        <c:axId val="553244749"/>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314159999"/>
        <c:crosses val="autoZero"/>
        <c:crossBetween val="between"/>
      </c:valAx>
    </c:plotArea>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prstDash val="solid"/>
        </a:ln>
      </c:spPr>
    </c:title>
    <c:autoTitleDeleted val="0"/>
    <c:plotArea>
      <c:layout/>
      <c:barChart>
        <c:barDir val="col"/>
        <c:grouping val="clustered"/>
        <c:varyColors val="1"/>
        <c:ser>
          <c:idx val="0"/>
          <c:order val="0"/>
          <c:tx>
            <c:v>Sequencing</c:v>
          </c:tx>
          <c:spPr>
            <a:solidFill>
              <a:srgbClr val="073F5A"/>
            </a:solidFill>
            <a:ln>
              <a:noFill/>
              <a:prstDash val="solid"/>
            </a:ln>
          </c:spPr>
          <c:invertIfNegative val="1"/>
          <c:val>
            <c:numRef>
              <c:f>Gymnastics!$B$35</c:f>
              <c:numCache>
                <c:formatCode>General</c:formatCode>
                <c:ptCount val="1"/>
                <c:pt idx="0">
                  <c:v>61</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2EF-4326-8940-CF3F5F966C1E}"/>
            </c:ext>
          </c:extLst>
        </c:ser>
        <c:ser>
          <c:idx val="1"/>
          <c:order val="1"/>
          <c:tx>
            <c:v>Creativity</c:v>
          </c:tx>
          <c:spPr>
            <a:solidFill>
              <a:srgbClr val="0B5E87"/>
            </a:solidFill>
            <a:ln>
              <a:noFill/>
              <a:prstDash val="solid"/>
            </a:ln>
          </c:spPr>
          <c:invertIfNegative val="1"/>
          <c:val>
            <c:numRef>
              <c:f>Gymnastics!$C$35</c:f>
              <c:numCache>
                <c:formatCode>General</c:formatCode>
                <c:ptCount val="1"/>
                <c:pt idx="0">
                  <c:v>62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1-E2EF-4326-8940-CF3F5F966C1E}"/>
            </c:ext>
          </c:extLst>
        </c:ser>
        <c:ser>
          <c:idx val="2"/>
          <c:order val="2"/>
          <c:tx>
            <c:v>Execution</c:v>
          </c:tx>
          <c:spPr>
            <a:solidFill>
              <a:srgbClr val="0F7EB4"/>
            </a:solidFill>
            <a:ln>
              <a:noFill/>
              <a:prstDash val="solid"/>
            </a:ln>
          </c:spPr>
          <c:invertIfNegative val="1"/>
          <c:val>
            <c:numRef>
              <c:f>Gymnastics!$D$35</c:f>
              <c:numCache>
                <c:formatCode>General</c:formatCode>
                <c:ptCount val="1"/>
                <c:pt idx="0">
                  <c:v>62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2-E2EF-4326-8940-CF3F5F966C1E}"/>
            </c:ext>
          </c:extLst>
        </c:ser>
        <c:ser>
          <c:idx val="3"/>
          <c:order val="3"/>
          <c:tx>
            <c:v>Variety of Elements</c:v>
          </c:tx>
          <c:spPr>
            <a:solidFill>
              <a:srgbClr val="50BCF0"/>
            </a:solidFill>
            <a:ln>
              <a:noFill/>
              <a:prstDash val="solid"/>
            </a:ln>
          </c:spPr>
          <c:invertIfNegative val="1"/>
          <c:val>
            <c:numRef>
              <c:f>Gymnastics!$E$35</c:f>
              <c:numCache>
                <c:formatCode>General</c:formatCode>
                <c:ptCount val="1"/>
                <c:pt idx="0">
                  <c:v>30</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3-E2EF-4326-8940-CF3F5F966C1E}"/>
            </c:ext>
          </c:extLst>
        </c:ser>
        <c:dLbls>
          <c:showLegendKey val="0"/>
          <c:showVal val="0"/>
          <c:showCatName val="0"/>
          <c:showSerName val="0"/>
          <c:showPercent val="0"/>
          <c:showBubbleSize val="0"/>
        </c:dLbls>
        <c:gapWidth val="150"/>
        <c:axId val="2000188002"/>
        <c:axId val="1585469672"/>
      </c:barChart>
      <c:catAx>
        <c:axId val="2000188002"/>
        <c:scaling>
          <c:orientation val="minMax"/>
        </c:scaling>
        <c:delete val="0"/>
        <c:axPos val="b"/>
        <c:title>
          <c:tx>
            <c:rich>
              <a:bodyPr rot="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chemeClr val="bg1"/>
                </a:solidFill>
                <a:latin typeface="+mn-lt"/>
                <a:ea typeface="+mn-ea"/>
                <a:cs typeface="+mn-cs"/>
              </a:defRPr>
            </a:pPr>
            <a:endParaRPr lang="en-US"/>
          </a:p>
        </c:txPr>
        <c:crossAx val="1585469672"/>
        <c:crosses val="autoZero"/>
        <c:auto val="1"/>
        <c:lblAlgn val="ctr"/>
        <c:lblOffset val="100"/>
        <c:noMultiLvlLbl val="1"/>
      </c:catAx>
      <c:valAx>
        <c:axId val="1585469672"/>
        <c:scaling>
          <c:orientation val="minMax"/>
        </c:scaling>
        <c:delete val="0"/>
        <c:axPos val="l"/>
        <c:majorGridlines>
          <c:spPr>
            <a:ln w="6350" cap="flat" cmpd="sng" algn="ctr">
              <a:solidFill>
                <a:srgbClr val="B7B7B7"/>
              </a:solidFill>
              <a:prstDash val="solid"/>
              <a:round/>
            </a:ln>
          </c:spPr>
        </c:majorGridlines>
        <c:minorGridlines>
          <c:spPr>
            <a:ln w="6350" cap="flat" cmpd="sng" algn="ctr">
              <a:solidFill>
                <a:srgbClr val="CCCCCC"/>
              </a:solidFill>
              <a:prstDash val="solid"/>
              <a:round/>
            </a:ln>
          </c:spPr>
        </c:minorGridlines>
        <c:title>
          <c:tx>
            <c:rich>
              <a:bodyPr rot="-5400000" spcFirstLastPara="1" vertOverflow="ellipsis" vert="horz" wrap="square" anchor="ctr" anchorCtr="1"/>
              <a:lstStyle/>
              <a:p>
                <a:pPr lvl="0">
                  <a:defRPr sz="1000" b="0" i="0" strike="noStrike" kern="1200" baseline="0">
                    <a:solidFill>
                      <a:srgbClr val="000000"/>
                    </a:solidFill>
                    <a:latin typeface="+mn-lt"/>
                    <a:ea typeface="+mn-ea"/>
                    <a:cs typeface="+mn-cs"/>
                  </a:defRPr>
                </a:pPr>
                <a:r>
                  <a:rPr lang="en-AU" b="0">
                    <a:solidFill>
                      <a:srgbClr val="000000"/>
                    </a:solidFill>
                    <a:latin typeface="+mn-lt"/>
                  </a:rPr>
                  <a:t>Number of sudents</a:t>
                </a:r>
              </a:p>
            </c:rich>
          </c:tx>
          <c:overlay val="0"/>
          <c:spPr>
            <a:noFill/>
            <a:ln>
              <a:noFill/>
              <a:prstDash val="solid"/>
            </a:ln>
          </c:spPr>
        </c:title>
        <c:numFmt formatCode="General" sourceLinked="1"/>
        <c:majorTickMark val="none"/>
        <c:minorTickMark val="none"/>
        <c:tickLblPos val="nextTo"/>
        <c:spPr>
          <a:noFill/>
          <a:ln w="6350" cap="flat" cmpd="sng" algn="ctr">
            <a:solidFill>
              <a:schemeClr val="tx1"/>
            </a:solidFill>
            <a:prstDash val="solid"/>
            <a:round/>
          </a:ln>
        </c:spPr>
        <c:txPr>
          <a:bodyPr rot="-60000000" spcFirstLastPara="1" vertOverflow="ellipsis" vert="horz" wrap="square" anchor="ctr" anchorCtr="1"/>
          <a:lstStyle/>
          <a:p>
            <a:pPr lvl="0">
              <a:defRPr sz="1000" b="0" i="0" strike="noStrike" kern="1200" baseline="0">
                <a:solidFill>
                  <a:srgbClr val="000000"/>
                </a:solidFill>
                <a:latin typeface="+mn-lt"/>
                <a:ea typeface="+mn-ea"/>
                <a:cs typeface="+mn-cs"/>
              </a:defRPr>
            </a:pPr>
            <a:endParaRPr lang="en-US"/>
          </a:p>
        </c:txPr>
        <c:crossAx val="2000188002"/>
        <c:crossesAt val="1"/>
        <c:crossBetween val="between"/>
      </c:valAx>
    </c:plotArea>
    <c:legend>
      <c:legendPos val="r"/>
      <c:overlay val="0"/>
      <c:spPr>
        <a:noFill/>
        <a:ln>
          <a:noFill/>
          <a:prstDash val="solid"/>
        </a:ln>
      </c:spPr>
      <c:txPr>
        <a:bodyPr rot="0" spcFirstLastPara="1" vertOverflow="ellipsis" vert="horz" wrap="square" anchor="ctr" anchorCtr="1"/>
        <a:lstStyle/>
        <a:p>
          <a:pPr lvl="0">
            <a:defRPr sz="1000" b="0" i="0" strike="noStrike" kern="1200" baseline="0">
              <a:solidFill>
                <a:srgbClr val="1A1A1A"/>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r>
              <a:rPr lang="en-AU" b="0">
                <a:solidFill>
                  <a:srgbClr val="757575"/>
                </a:solidFill>
                <a:latin typeface="+mn-lt"/>
              </a:rPr>
              <a:t>Normative scores if 10 years old (girls and boys)</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endParaRPr lang="en-US"/>
        </a:p>
      </c:txPr>
    </c:title>
    <c:autoTitleDeleted val="0"/>
    <c:plotArea>
      <c:layout/>
      <c:barChart>
        <c:barDir val="col"/>
        <c:grouping val="clustered"/>
        <c:varyColors val="1"/>
        <c:ser>
          <c:idx val="0"/>
          <c:order val="0"/>
          <c:tx>
            <c:strRef>
              <c:f>'[1]AST 3'!$G$50</c:f>
              <c:strCache>
                <c:ptCount val="1"/>
                <c:pt idx="0">
                  <c:v>If 10 Years Old</c:v>
                </c:pt>
              </c:strCache>
            </c:strRef>
          </c:tx>
          <c:invertIfNegative val="1"/>
          <c:dPt>
            <c:idx val="0"/>
            <c:invertIfNegative val="1"/>
            <c:bubble3D val="0"/>
            <c:spPr>
              <a:solidFill>
                <a:schemeClr val="accent1"/>
              </a:solidFill>
              <a:ln>
                <a:noFill/>
              </a:ln>
              <a:effectLst/>
            </c:spPr>
            <c:extLst>
              <c:ext xmlns:c16="http://schemas.microsoft.com/office/drawing/2014/chart" uri="{C3380CC4-5D6E-409C-BE32-E72D297353CC}">
                <c16:uniqueId val="{00000001-AAEF-47A4-BB8B-087DF16891A1}"/>
              </c:ext>
            </c:extLst>
          </c:dPt>
          <c:dPt>
            <c:idx val="1"/>
            <c:invertIfNegative val="1"/>
            <c:bubble3D val="0"/>
            <c:spPr>
              <a:solidFill>
                <a:schemeClr val="accent2"/>
              </a:solidFill>
              <a:ln>
                <a:noFill/>
              </a:ln>
              <a:effectLst/>
            </c:spPr>
            <c:extLst>
              <c:ext xmlns:c16="http://schemas.microsoft.com/office/drawing/2014/chart" uri="{C3380CC4-5D6E-409C-BE32-E72D297353CC}">
                <c16:uniqueId val="{00000003-AAEF-47A4-BB8B-087DF16891A1}"/>
              </c:ext>
            </c:extLst>
          </c:dPt>
          <c:dPt>
            <c:idx val="2"/>
            <c:invertIfNegative val="1"/>
            <c:bubble3D val="0"/>
            <c:spPr>
              <a:solidFill>
                <a:schemeClr val="accent3"/>
              </a:solidFill>
              <a:ln>
                <a:noFill/>
              </a:ln>
              <a:effectLst/>
            </c:spPr>
            <c:extLst>
              <c:ext xmlns:c16="http://schemas.microsoft.com/office/drawing/2014/chart" uri="{C3380CC4-5D6E-409C-BE32-E72D297353CC}">
                <c16:uniqueId val="{00000005-AAEF-47A4-BB8B-087DF16891A1}"/>
              </c:ext>
            </c:extLst>
          </c:dPt>
          <c:dPt>
            <c:idx val="3"/>
            <c:invertIfNegative val="1"/>
            <c:bubble3D val="0"/>
            <c:spPr>
              <a:solidFill>
                <a:schemeClr val="accent4"/>
              </a:solidFill>
              <a:ln>
                <a:noFill/>
              </a:ln>
              <a:effectLst/>
            </c:spPr>
            <c:extLst>
              <c:ext xmlns:c16="http://schemas.microsoft.com/office/drawing/2014/chart" uri="{C3380CC4-5D6E-409C-BE32-E72D297353CC}">
                <c16:uniqueId val="{00000007-AAEF-47A4-BB8B-087DF16891A1}"/>
              </c:ext>
            </c:extLst>
          </c:dPt>
          <c:dPt>
            <c:idx val="4"/>
            <c:invertIfNegative val="1"/>
            <c:bubble3D val="0"/>
            <c:spPr>
              <a:solidFill>
                <a:schemeClr val="accent5"/>
              </a:solidFill>
              <a:ln>
                <a:noFill/>
              </a:ln>
              <a:effectLst/>
            </c:spPr>
            <c:extLst>
              <c:ext xmlns:c16="http://schemas.microsoft.com/office/drawing/2014/chart" uri="{C3380CC4-5D6E-409C-BE32-E72D297353CC}">
                <c16:uniqueId val="{00000009-AAEF-47A4-BB8B-087DF16891A1}"/>
              </c:ext>
            </c:extLst>
          </c:dPt>
          <c:cat>
            <c:strRef>
              <c:f>'[1]AST 3'!$E$51:$E$55</c:f>
              <c:strCache>
                <c:ptCount val="5"/>
                <c:pt idx="0">
                  <c:v>Excelling</c:v>
                </c:pt>
                <c:pt idx="1">
                  <c:v>Achieving</c:v>
                </c:pt>
                <c:pt idx="2">
                  <c:v>At level</c:v>
                </c:pt>
                <c:pt idx="3">
                  <c:v>Progressing</c:v>
                </c:pt>
                <c:pt idx="4">
                  <c:v>Beginning</c:v>
                </c:pt>
              </c:strCache>
            </c:strRef>
          </c:cat>
          <c:val>
            <c:numRef>
              <c:f>'[1]AST 3'!$G$51:$G$55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AAEF-47A4-BB8B-087DF16891A1}"/>
            </c:ext>
          </c:extLst>
        </c:ser>
        <c:dLbls>
          <c:showLegendKey val="0"/>
          <c:showVal val="0"/>
          <c:showCatName val="0"/>
          <c:showSerName val="0"/>
          <c:showPercent val="0"/>
          <c:showBubbleSize val="0"/>
        </c:dLbls>
        <c:gapWidth val="150"/>
        <c:axId val="1381233952"/>
        <c:axId val="220737710"/>
      </c:barChart>
      <c:catAx>
        <c:axId val="1381233952"/>
        <c:scaling>
          <c:orientation val="minMax"/>
        </c:scaling>
        <c:delete val="0"/>
        <c:axPos val="b"/>
        <c:title>
          <c:tx>
            <c:rich>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Totals</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220737710"/>
        <c:crosses val="autoZero"/>
        <c:auto val="1"/>
        <c:lblAlgn val="ctr"/>
        <c:lblOffset val="100"/>
        <c:noMultiLvlLbl val="1"/>
      </c:catAx>
      <c:valAx>
        <c:axId val="220737710"/>
        <c:scaling>
          <c:orientation val="minMax"/>
        </c:scaling>
        <c:delete val="0"/>
        <c:axPos val="l"/>
        <c:majorGridlines>
          <c:spPr>
            <a:ln w="6350" cap="flat" cmpd="sng" algn="ctr">
              <a:solidFill>
                <a:srgbClr val="B7B7B7"/>
              </a:solidFill>
              <a:prstDash val="solid"/>
              <a:round/>
            </a:ln>
            <a:effectLst/>
          </c:spPr>
        </c:majorGridlines>
        <c:minorGridlines>
          <c:spPr>
            <a:ln w="6350" cap="flat" cmpd="sng" algn="ctr">
              <a:solidFill>
                <a:srgbClr val="CCCCCC">
                  <a:alpha val="0"/>
                </a:srgbClr>
              </a:solidFill>
              <a:prstDash val="solid"/>
              <a:round/>
            </a:ln>
            <a:effectLst/>
          </c:spPr>
        </c:minorGridlines>
        <c:title>
          <c:tx>
            <c:rich>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ln>
            <a:effectLst/>
          </c:spPr>
          <c:txPr>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1381233952"/>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lvl="0">
            <a:defRPr sz="1000" b="0" i="0" u="none" strike="noStrike" kern="1200" baseline="0">
              <a:solidFill>
                <a:srgbClr val="1A1A1A"/>
              </a:solidFill>
              <a:latin typeface="+mn-lt"/>
              <a:ea typeface="+mn-ea"/>
              <a:cs typeface="+mn-cs"/>
            </a:defRPr>
          </a:pPr>
          <a:endParaRPr lang="en-US"/>
        </a:p>
      </c:txPr>
    </c:legend>
    <c:plotVisOnly val="1"/>
    <c:dispBlanksAs val="zero"/>
    <c:showDLblsOverMax val="1"/>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r>
              <a:rPr lang="en-AU" b="0">
                <a:solidFill>
                  <a:srgbClr val="757575"/>
                </a:solidFill>
                <a:latin typeface="+mn-lt"/>
              </a:rPr>
              <a:t>Normative scores if 12 years old (girls and</a:t>
            </a:r>
            <a:r>
              <a:rPr lang="en-AU" b="0" baseline="0">
                <a:solidFill>
                  <a:srgbClr val="757575"/>
                </a:solidFill>
                <a:latin typeface="+mn-lt"/>
              </a:rPr>
              <a:t> boys</a:t>
            </a:r>
            <a:r>
              <a:rPr lang="en-AU" b="0">
                <a:solidFill>
                  <a:srgbClr val="757575"/>
                </a:solidFill>
                <a:latin typeface="+mn-lt"/>
              </a:rPr>
              <a:t>)</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endParaRPr lang="en-US"/>
        </a:p>
      </c:txPr>
    </c:title>
    <c:autoTitleDeleted val="0"/>
    <c:plotArea>
      <c:layout/>
      <c:barChart>
        <c:barDir val="col"/>
        <c:grouping val="clustered"/>
        <c:varyColors val="1"/>
        <c:ser>
          <c:idx val="0"/>
          <c:order val="0"/>
          <c:tx>
            <c:strRef>
              <c:f>'[1]AST 3'!$I$50</c:f>
              <c:strCache>
                <c:ptCount val="1"/>
                <c:pt idx="0">
                  <c:v>If 12 Years Old</c:v>
                </c:pt>
              </c:strCache>
            </c:strRef>
          </c:tx>
          <c:invertIfNegative val="1"/>
          <c:dPt>
            <c:idx val="0"/>
            <c:invertIfNegative val="1"/>
            <c:bubble3D val="0"/>
            <c:spPr>
              <a:solidFill>
                <a:schemeClr val="accent1"/>
              </a:solidFill>
              <a:ln>
                <a:noFill/>
              </a:ln>
              <a:effectLst/>
            </c:spPr>
            <c:extLst>
              <c:ext xmlns:c16="http://schemas.microsoft.com/office/drawing/2014/chart" uri="{C3380CC4-5D6E-409C-BE32-E72D297353CC}">
                <c16:uniqueId val="{00000001-77C9-41CF-9DC4-BFC0B2EA6CBF}"/>
              </c:ext>
            </c:extLst>
          </c:dPt>
          <c:dPt>
            <c:idx val="1"/>
            <c:invertIfNegative val="1"/>
            <c:bubble3D val="0"/>
            <c:spPr>
              <a:solidFill>
                <a:schemeClr val="accent2"/>
              </a:solidFill>
              <a:ln>
                <a:noFill/>
              </a:ln>
              <a:effectLst/>
            </c:spPr>
            <c:extLst>
              <c:ext xmlns:c16="http://schemas.microsoft.com/office/drawing/2014/chart" uri="{C3380CC4-5D6E-409C-BE32-E72D297353CC}">
                <c16:uniqueId val="{00000003-77C9-41CF-9DC4-BFC0B2EA6CBF}"/>
              </c:ext>
            </c:extLst>
          </c:dPt>
          <c:dPt>
            <c:idx val="2"/>
            <c:invertIfNegative val="1"/>
            <c:bubble3D val="0"/>
            <c:spPr>
              <a:solidFill>
                <a:schemeClr val="accent3"/>
              </a:solidFill>
              <a:ln>
                <a:noFill/>
              </a:ln>
              <a:effectLst/>
            </c:spPr>
            <c:extLst>
              <c:ext xmlns:c16="http://schemas.microsoft.com/office/drawing/2014/chart" uri="{C3380CC4-5D6E-409C-BE32-E72D297353CC}">
                <c16:uniqueId val="{00000005-77C9-41CF-9DC4-BFC0B2EA6CBF}"/>
              </c:ext>
            </c:extLst>
          </c:dPt>
          <c:dPt>
            <c:idx val="3"/>
            <c:invertIfNegative val="1"/>
            <c:bubble3D val="0"/>
            <c:spPr>
              <a:solidFill>
                <a:schemeClr val="accent4"/>
              </a:solidFill>
              <a:ln>
                <a:noFill/>
              </a:ln>
              <a:effectLst/>
            </c:spPr>
            <c:extLst>
              <c:ext xmlns:c16="http://schemas.microsoft.com/office/drawing/2014/chart" uri="{C3380CC4-5D6E-409C-BE32-E72D297353CC}">
                <c16:uniqueId val="{00000007-77C9-41CF-9DC4-BFC0B2EA6CBF}"/>
              </c:ext>
            </c:extLst>
          </c:dPt>
          <c:dPt>
            <c:idx val="4"/>
            <c:invertIfNegative val="1"/>
            <c:bubble3D val="0"/>
            <c:spPr>
              <a:solidFill>
                <a:schemeClr val="accent5"/>
              </a:solidFill>
              <a:ln>
                <a:noFill/>
              </a:ln>
              <a:effectLst/>
            </c:spPr>
            <c:extLst>
              <c:ext xmlns:c16="http://schemas.microsoft.com/office/drawing/2014/chart" uri="{C3380CC4-5D6E-409C-BE32-E72D297353CC}">
                <c16:uniqueId val="{00000009-77C9-41CF-9DC4-BFC0B2EA6CBF}"/>
              </c:ext>
            </c:extLst>
          </c:dPt>
          <c:cat>
            <c:strRef>
              <c:f>'[1]AST 3'!$E$51:$E$55</c:f>
              <c:strCache>
                <c:ptCount val="5"/>
                <c:pt idx="0">
                  <c:v>Excelling</c:v>
                </c:pt>
                <c:pt idx="1">
                  <c:v>Achieving</c:v>
                </c:pt>
                <c:pt idx="2">
                  <c:v>At level</c:v>
                </c:pt>
                <c:pt idx="3">
                  <c:v>Progressing</c:v>
                </c:pt>
                <c:pt idx="4">
                  <c:v>Beginning</c:v>
                </c:pt>
              </c:strCache>
            </c:strRef>
          </c:cat>
          <c:val>
            <c:numRef>
              <c:f>'[1]AST 3'!$I$51:$I$55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77C9-41CF-9DC4-BFC0B2EA6CBF}"/>
            </c:ext>
          </c:extLst>
        </c:ser>
        <c:dLbls>
          <c:showLegendKey val="0"/>
          <c:showVal val="0"/>
          <c:showCatName val="0"/>
          <c:showSerName val="0"/>
          <c:showPercent val="0"/>
          <c:showBubbleSize val="0"/>
        </c:dLbls>
        <c:gapWidth val="150"/>
        <c:axId val="2142333461"/>
        <c:axId val="2060418422"/>
      </c:barChart>
      <c:catAx>
        <c:axId val="2142333461"/>
        <c:scaling>
          <c:orientation val="minMax"/>
        </c:scaling>
        <c:delete val="0"/>
        <c:axPos val="b"/>
        <c:title>
          <c:tx>
            <c:rich>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Totals</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2060418422"/>
        <c:crosses val="autoZero"/>
        <c:auto val="1"/>
        <c:lblAlgn val="ctr"/>
        <c:lblOffset val="100"/>
        <c:noMultiLvlLbl val="1"/>
      </c:catAx>
      <c:valAx>
        <c:axId val="2060418422"/>
        <c:scaling>
          <c:orientation val="minMax"/>
        </c:scaling>
        <c:delete val="0"/>
        <c:axPos val="l"/>
        <c:majorGridlines>
          <c:spPr>
            <a:ln w="6350" cap="flat" cmpd="sng" algn="ctr">
              <a:solidFill>
                <a:srgbClr val="B7B7B7"/>
              </a:solidFill>
              <a:prstDash val="solid"/>
              <a:round/>
            </a:ln>
            <a:effectLst/>
          </c:spPr>
        </c:majorGridlines>
        <c:minorGridlines>
          <c:spPr>
            <a:ln w="6350" cap="flat" cmpd="sng" algn="ctr">
              <a:solidFill>
                <a:srgbClr val="CCCCCC">
                  <a:alpha val="0"/>
                </a:srgbClr>
              </a:solidFill>
              <a:prstDash val="solid"/>
              <a:round/>
            </a:ln>
            <a:effectLst/>
          </c:spPr>
        </c:minorGridlines>
        <c:title>
          <c:tx>
            <c:rich>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ln>
            <a:effectLst/>
          </c:spPr>
          <c:txPr>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2142333461"/>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lvl="0">
            <a:defRPr sz="1000" b="0" i="0" u="none" strike="noStrike" kern="1200" baseline="0">
              <a:solidFill>
                <a:srgbClr val="1A1A1A"/>
              </a:solidFill>
              <a:latin typeface="+mn-lt"/>
              <a:ea typeface="+mn-ea"/>
              <a:cs typeface="+mn-cs"/>
            </a:defRPr>
          </a:pPr>
          <a:endParaRPr lang="en-US"/>
        </a:p>
      </c:txPr>
    </c:legend>
    <c:plotVisOnly val="1"/>
    <c:dispBlanksAs val="zero"/>
    <c:showDLblsOverMax val="1"/>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r>
              <a:rPr lang="en-AU" b="0">
                <a:solidFill>
                  <a:srgbClr val="757575"/>
                </a:solidFill>
                <a:latin typeface="+mn-lt"/>
              </a:rPr>
              <a:t>Class by normative score</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endParaRPr lang="en-US"/>
        </a:p>
      </c:txPr>
    </c:title>
    <c:autoTitleDeleted val="0"/>
    <c:plotArea>
      <c:layout/>
      <c:barChart>
        <c:barDir val="col"/>
        <c:grouping val="clustered"/>
        <c:varyColors val="1"/>
        <c:ser>
          <c:idx val="0"/>
          <c:order val="0"/>
          <c:invertIfNegative val="1"/>
          <c:dPt>
            <c:idx val="0"/>
            <c:invertIfNegative val="1"/>
            <c:bubble3D val="0"/>
            <c:spPr>
              <a:solidFill>
                <a:schemeClr val="accent1"/>
              </a:solidFill>
              <a:ln>
                <a:noFill/>
              </a:ln>
              <a:effectLst/>
            </c:spPr>
            <c:extLst>
              <c:ext xmlns:c16="http://schemas.microsoft.com/office/drawing/2014/chart" uri="{C3380CC4-5D6E-409C-BE32-E72D297353CC}">
                <c16:uniqueId val="{00000001-C69B-4867-BBAC-AB886EC43C34}"/>
              </c:ext>
            </c:extLst>
          </c:dPt>
          <c:dPt>
            <c:idx val="1"/>
            <c:invertIfNegative val="1"/>
            <c:bubble3D val="0"/>
            <c:spPr>
              <a:solidFill>
                <a:schemeClr val="accent2"/>
              </a:solidFill>
              <a:ln>
                <a:noFill/>
              </a:ln>
              <a:effectLst/>
            </c:spPr>
            <c:extLst>
              <c:ext xmlns:c16="http://schemas.microsoft.com/office/drawing/2014/chart" uri="{C3380CC4-5D6E-409C-BE32-E72D297353CC}">
                <c16:uniqueId val="{00000003-C69B-4867-BBAC-AB886EC43C34}"/>
              </c:ext>
            </c:extLst>
          </c:dPt>
          <c:dPt>
            <c:idx val="2"/>
            <c:invertIfNegative val="1"/>
            <c:bubble3D val="0"/>
            <c:spPr>
              <a:solidFill>
                <a:schemeClr val="accent3"/>
              </a:solidFill>
              <a:ln>
                <a:noFill/>
              </a:ln>
              <a:effectLst/>
            </c:spPr>
            <c:extLst>
              <c:ext xmlns:c16="http://schemas.microsoft.com/office/drawing/2014/chart" uri="{C3380CC4-5D6E-409C-BE32-E72D297353CC}">
                <c16:uniqueId val="{00000005-C69B-4867-BBAC-AB886EC43C34}"/>
              </c:ext>
            </c:extLst>
          </c:dPt>
          <c:dPt>
            <c:idx val="3"/>
            <c:invertIfNegative val="1"/>
            <c:bubble3D val="0"/>
            <c:spPr>
              <a:solidFill>
                <a:schemeClr val="accent4"/>
              </a:solidFill>
              <a:ln>
                <a:noFill/>
              </a:ln>
              <a:effectLst/>
            </c:spPr>
            <c:extLst>
              <c:ext xmlns:c16="http://schemas.microsoft.com/office/drawing/2014/chart" uri="{C3380CC4-5D6E-409C-BE32-E72D297353CC}">
                <c16:uniqueId val="{00000007-C69B-4867-BBAC-AB886EC43C34}"/>
              </c:ext>
            </c:extLst>
          </c:dPt>
          <c:cat>
            <c:strRef>
              <c:f>'Rock to stand'!$K$39:$K$42</c:f>
              <c:strCache>
                <c:ptCount val="4"/>
                <c:pt idx="0">
                  <c:v>Beginning</c:v>
                </c:pt>
                <c:pt idx="1">
                  <c:v>Progressing</c:v>
                </c:pt>
                <c:pt idx="2">
                  <c:v>Achieving </c:v>
                </c:pt>
                <c:pt idx="3">
                  <c:v>Excelling</c:v>
                </c:pt>
              </c:strCache>
            </c:strRef>
          </c:cat>
          <c:val>
            <c:numRef>
              <c:f>'Rock to stand'!$L$39:$L$42</c:f>
              <c:numCache>
                <c:formatCode>General</c:formatCode>
                <c:ptCount val="4"/>
                <c:pt idx="0">
                  <c:v>13</c:v>
                </c:pt>
                <c:pt idx="1">
                  <c:v>1</c:v>
                </c:pt>
                <c:pt idx="2">
                  <c:v>0</c:v>
                </c:pt>
                <c:pt idx="3">
                  <c:v>12</c:v>
                </c:pt>
              </c:numCache>
            </c:numRef>
          </c:val>
          <c:extLst>
            <c:ext xmlns:c16="http://schemas.microsoft.com/office/drawing/2014/chart" uri="{C3380CC4-5D6E-409C-BE32-E72D297353CC}">
              <c16:uniqueId val="{00000008-C69B-4867-BBAC-AB886EC43C34}"/>
            </c:ext>
          </c:extLst>
        </c:ser>
        <c:dLbls>
          <c:showLegendKey val="0"/>
          <c:showVal val="0"/>
          <c:showCatName val="0"/>
          <c:showSerName val="0"/>
          <c:showPercent val="0"/>
          <c:showBubbleSize val="0"/>
        </c:dLbls>
        <c:gapWidth val="150"/>
        <c:axId val="1905876289"/>
        <c:axId val="1330913828"/>
      </c:barChart>
      <c:catAx>
        <c:axId val="1905876289"/>
        <c:scaling>
          <c:orientation val="minMax"/>
        </c:scaling>
        <c:delete val="0"/>
        <c:axPos val="b"/>
        <c:title>
          <c:tx>
            <c:rich>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Normative score</a:t>
                </a:r>
              </a:p>
            </c:rich>
          </c:tx>
          <c:overlay val="0"/>
          <c:spPr>
            <a:noFill/>
            <a:ln>
              <a:noFill/>
            </a:ln>
            <a:effectLst/>
          </c:spPr>
          <c:txPr>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1330913828"/>
        <c:crosses val="autoZero"/>
        <c:auto val="1"/>
        <c:lblAlgn val="ctr"/>
        <c:lblOffset val="100"/>
        <c:noMultiLvlLbl val="1"/>
      </c:catAx>
      <c:valAx>
        <c:axId val="1330913828"/>
        <c:scaling>
          <c:orientation val="minMax"/>
        </c:scaling>
        <c:delete val="0"/>
        <c:axPos val="l"/>
        <c:majorGridlines>
          <c:spPr>
            <a:ln w="6350" cap="flat" cmpd="sng" algn="ctr">
              <a:solidFill>
                <a:srgbClr val="B7B7B7"/>
              </a:solidFill>
              <a:prstDash val="solid"/>
              <a:round/>
            </a:ln>
            <a:effectLst/>
          </c:spPr>
        </c:majorGridlines>
        <c:minorGridlines>
          <c:spPr>
            <a:ln w="6350" cap="flat" cmpd="sng" algn="ctr">
              <a:solidFill>
                <a:srgbClr val="CCCCCC">
                  <a:alpha val="0"/>
                </a:srgbClr>
              </a:solidFill>
              <a:prstDash val="solid"/>
              <a:round/>
            </a:ln>
            <a:effectLst/>
          </c:spPr>
        </c:minorGridlines>
        <c:title>
          <c:tx>
            <c:rich>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ln>
            <a:effectLst/>
          </c:spPr>
          <c:txPr>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1905876289"/>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lvl="0">
            <a:defRPr sz="1000" b="0" i="0" u="none" strike="noStrike" kern="1200" baseline="0">
              <a:solidFill>
                <a:srgbClr val="1A1A1A"/>
              </a:solidFill>
              <a:latin typeface="+mn-lt"/>
              <a:ea typeface="+mn-ea"/>
              <a:cs typeface="+mn-cs"/>
            </a:defRPr>
          </a:pPr>
          <a:endParaRPr lang="en-US"/>
        </a:p>
      </c:txPr>
    </c:legend>
    <c:plotVisOnly val="1"/>
    <c:dispBlanksAs val="zero"/>
    <c:showDLblsOverMax val="1"/>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defRPr sz="1000" b="0" i="0" u="none" strike="noStrike" kern="1200" baseline="0">
                <a:solidFill>
                  <a:srgbClr val="757575"/>
                </a:solidFill>
                <a:latin typeface="+mn-lt"/>
                <a:ea typeface="+mn-ea"/>
                <a:cs typeface="+mn-cs"/>
              </a:defRPr>
            </a:pPr>
            <a:r>
              <a:rPr lang="en-AU" b="0">
                <a:solidFill>
                  <a:srgbClr val="757575"/>
                </a:solidFill>
                <a:latin typeface="+mn-lt"/>
              </a:rPr>
              <a:t>Class by skill criteria</a:t>
            </a:r>
          </a:p>
        </c:rich>
      </c:tx>
      <c:overlay val="0"/>
      <c:spPr>
        <a:noFill/>
        <a:ln>
          <a:noFill/>
        </a:ln>
        <a:effectLst/>
      </c:spPr>
    </c:title>
    <c:autoTitleDeleted val="0"/>
    <c:plotArea>
      <c:layout/>
      <c:barChart>
        <c:barDir val="col"/>
        <c:grouping val="clustered"/>
        <c:varyColors val="1"/>
        <c:ser>
          <c:idx val="0"/>
          <c:order val="0"/>
          <c:tx>
            <c:strRef>
              <c:f>'Rock to stand'!$B$4</c:f>
              <c:strCache>
                <c:ptCount val="1"/>
                <c:pt idx="0">
                  <c:v>Maintains and holds seated tuck</c:v>
                </c:pt>
              </c:strCache>
            </c:strRef>
          </c:tx>
          <c:spPr>
            <a:solidFill>
              <a:srgbClr val="073F5A"/>
            </a:solidFill>
            <a:ln>
              <a:noFill/>
            </a:ln>
            <a:effectLst/>
          </c:spPr>
          <c:invertIfNegative val="1"/>
          <c:val>
            <c:numRef>
              <c:f>'Rock to stand'!$B$35:$B$36</c:f>
              <c:numCache>
                <c:formatCode>General</c:formatCode>
                <c:ptCount val="2"/>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E90B-462B-A0AF-362E461933DB}"/>
            </c:ext>
          </c:extLst>
        </c:ser>
        <c:ser>
          <c:idx val="1"/>
          <c:order val="1"/>
          <c:tx>
            <c:strRef>
              <c:f>'Rock to stand'!$C$4</c:f>
              <c:strCache>
                <c:ptCount val="1"/>
                <c:pt idx="0">
                  <c:v>Rocks backward onto nape of neck</c:v>
                </c:pt>
              </c:strCache>
            </c:strRef>
          </c:tx>
          <c:spPr>
            <a:solidFill>
              <a:srgbClr val="0B5E87"/>
            </a:solidFill>
            <a:ln>
              <a:noFill/>
            </a:ln>
            <a:effectLst/>
          </c:spPr>
          <c:invertIfNegative val="1"/>
          <c:val>
            <c:numRef>
              <c:f>'Rock to stand'!$C$35:$C$36</c:f>
              <c:numCache>
                <c:formatCode>General</c:formatCode>
                <c:ptCount val="2"/>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E90B-462B-A0AF-362E461933DB}"/>
            </c:ext>
          </c:extLst>
        </c:ser>
        <c:ser>
          <c:idx val="2"/>
          <c:order val="2"/>
          <c:tx>
            <c:strRef>
              <c:f>'Rock to stand'!$D$4</c:f>
              <c:strCache>
                <c:ptCount val="1"/>
                <c:pt idx="0">
                  <c:v>Rocks back a second time</c:v>
                </c:pt>
              </c:strCache>
            </c:strRef>
          </c:tx>
          <c:spPr>
            <a:solidFill>
              <a:srgbClr val="0F7EB4"/>
            </a:solidFill>
            <a:ln>
              <a:noFill/>
            </a:ln>
            <a:effectLst/>
          </c:spPr>
          <c:invertIfNegative val="1"/>
          <c:val>
            <c:numRef>
              <c:f>'Rock to stand'!$D$35:$D$36</c:f>
              <c:numCache>
                <c:formatCode>General</c:formatCode>
                <c:ptCount val="2"/>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E90B-462B-A0AF-362E461933DB}"/>
            </c:ext>
          </c:extLst>
        </c:ser>
        <c:ser>
          <c:idx val="3"/>
          <c:order val="3"/>
          <c:tx>
            <c:strRef>
              <c:f>'Rock to stand'!$E$4</c:f>
              <c:strCache>
                <c:ptCount val="1"/>
                <c:pt idx="0">
                  <c:v>Stands back up when returning to seated position</c:v>
                </c:pt>
              </c:strCache>
            </c:strRef>
          </c:tx>
          <c:spPr>
            <a:solidFill>
              <a:srgbClr val="50BCF0"/>
            </a:solidFill>
            <a:ln>
              <a:noFill/>
            </a:ln>
            <a:effectLst/>
          </c:spPr>
          <c:invertIfNegative val="1"/>
          <c:val>
            <c:numRef>
              <c:f>'Rock to stand'!$E$35:$E$36</c:f>
              <c:numCache>
                <c:formatCode>General</c:formatCode>
                <c:ptCount val="2"/>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3-E90B-462B-A0AF-362E461933DB}"/>
            </c:ext>
          </c:extLst>
        </c:ser>
        <c:ser>
          <c:idx val="4"/>
          <c:order val="4"/>
          <c:tx>
            <c:strRef>
              <c:f>'Rock to stand'!$F$4</c:f>
              <c:strCache>
                <c:ptCount val="1"/>
                <c:pt idx="0">
                  <c:v>Maintains and holds seated tuck2</c:v>
                </c:pt>
              </c:strCache>
            </c:strRef>
          </c:tx>
          <c:spPr>
            <a:solidFill>
              <a:srgbClr val="8AD2F5"/>
            </a:solidFill>
            <a:ln>
              <a:noFill/>
            </a:ln>
            <a:effectLst/>
          </c:spPr>
          <c:invertIfNegative val="1"/>
          <c:val>
            <c:numRef>
              <c:f>'Rock to stand'!$F$35:$F$36</c:f>
              <c:numCache>
                <c:formatCode>General</c:formatCode>
                <c:ptCount val="2"/>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4-E90B-462B-A0AF-362E461933DB}"/>
            </c:ext>
          </c:extLst>
        </c:ser>
        <c:ser>
          <c:idx val="5"/>
          <c:order val="5"/>
          <c:tx>
            <c:strRef>
              <c:f>'Rock to stand'!$G$4</c:f>
              <c:strCache>
                <c:ptCount val="1"/>
                <c:pt idx="0">
                  <c:v>Rocks backward onto nape of neck3</c:v>
                </c:pt>
              </c:strCache>
            </c:strRef>
          </c:tx>
          <c:spPr>
            <a:solidFill>
              <a:srgbClr val="C4E8FA"/>
            </a:solidFill>
            <a:ln>
              <a:noFill/>
            </a:ln>
            <a:effectLst/>
          </c:spPr>
          <c:invertIfNegative val="1"/>
          <c:val>
            <c:numRef>
              <c:f>'Rock to stand'!$G$35:$G$36</c:f>
              <c:numCache>
                <c:formatCode>General</c:formatCode>
                <c:ptCount val="2"/>
                <c:pt idx="0">
                  <c:v>1</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5-E90B-462B-A0AF-362E461933DB}"/>
            </c:ext>
          </c:extLst>
        </c:ser>
        <c:ser>
          <c:idx val="6"/>
          <c:order val="6"/>
          <c:tx>
            <c:strRef>
              <c:f>'Rock to stand'!$H$4</c:f>
              <c:strCache>
                <c:ptCount val="1"/>
                <c:pt idx="0">
                  <c:v>Rocks back a second time4</c:v>
                </c:pt>
              </c:strCache>
            </c:strRef>
          </c:tx>
          <c:spPr>
            <a:solidFill>
              <a:srgbClr val="042636"/>
            </a:solidFill>
            <a:ln>
              <a:noFill/>
            </a:ln>
            <a:effectLst/>
          </c:spPr>
          <c:invertIfNegative val="1"/>
          <c:val>
            <c:numRef>
              <c:f>'Rock to stand'!$H$35:$H$36</c:f>
              <c:numCache>
                <c:formatCode>General</c:formatCode>
                <c:ptCount val="2"/>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6-E90B-462B-A0AF-362E461933DB}"/>
            </c:ext>
          </c:extLst>
        </c:ser>
        <c:ser>
          <c:idx val="7"/>
          <c:order val="7"/>
          <c:tx>
            <c:strRef>
              <c:f>'Rock to stand'!$I$4</c:f>
              <c:strCache>
                <c:ptCount val="1"/>
                <c:pt idx="0">
                  <c:v>Stands back up when returning to seated position5</c:v>
                </c:pt>
              </c:strCache>
            </c:strRef>
          </c:tx>
          <c:spPr>
            <a:solidFill>
              <a:srgbClr val="073851"/>
            </a:solidFill>
            <a:ln>
              <a:noFill/>
            </a:ln>
            <a:effectLst/>
          </c:spPr>
          <c:invertIfNegative val="1"/>
          <c:val>
            <c:numRef>
              <c:f>'Rock to stand'!$I$35:$I$36</c:f>
              <c:numCache>
                <c:formatCode>General</c:formatCode>
                <c:ptCount val="2"/>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7-E90B-462B-A0AF-362E461933DB}"/>
            </c:ext>
          </c:extLst>
        </c:ser>
        <c:dLbls>
          <c:showLegendKey val="0"/>
          <c:showVal val="0"/>
          <c:showCatName val="0"/>
          <c:showSerName val="0"/>
          <c:showPercent val="0"/>
          <c:showBubbleSize val="0"/>
        </c:dLbls>
        <c:gapWidth val="150"/>
        <c:axId val="946441666"/>
        <c:axId val="1461952405"/>
      </c:barChart>
      <c:catAx>
        <c:axId val="946441666"/>
        <c:scaling>
          <c:orientation val="minMax"/>
        </c:scaling>
        <c:delete val="0"/>
        <c:axPos val="b"/>
        <c:title>
          <c:tx>
            <c:rich>
              <a:bodyPr rot="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Skill criteria</a:t>
                </a:r>
              </a:p>
            </c:rich>
          </c:tx>
          <c:overlay val="0"/>
          <c:spPr>
            <a:noFill/>
            <a:ln>
              <a:noFill/>
            </a:ln>
            <a:effectLst/>
          </c:sp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1461952405"/>
        <c:crosses val="autoZero"/>
        <c:auto val="1"/>
        <c:lblAlgn val="ctr"/>
        <c:lblOffset val="100"/>
        <c:noMultiLvlLbl val="1"/>
      </c:catAx>
      <c:valAx>
        <c:axId val="1461952405"/>
        <c:scaling>
          <c:orientation val="minMax"/>
        </c:scaling>
        <c:delete val="0"/>
        <c:axPos val="l"/>
        <c:majorGridlines>
          <c:spPr>
            <a:ln w="6350" cap="flat" cmpd="sng" algn="ctr">
              <a:solidFill>
                <a:srgbClr val="B7B7B7"/>
              </a:solidFill>
              <a:prstDash val="solid"/>
              <a:round/>
            </a:ln>
            <a:effectLst/>
          </c:spPr>
        </c:majorGridlines>
        <c:minorGridlines>
          <c:spPr>
            <a:ln w="6350" cap="flat" cmpd="sng" algn="ctr">
              <a:solidFill>
                <a:srgbClr val="CCCCCC">
                  <a:alpha val="0"/>
                </a:srgbClr>
              </a:solidFill>
              <a:prstDash val="solid"/>
              <a:round/>
            </a:ln>
            <a:effectLst/>
          </c:spPr>
        </c:minorGridlines>
        <c:title>
          <c:tx>
            <c:rich>
              <a:bodyPr rot="-5400000" spcFirstLastPara="1" vertOverflow="ellipsis" vert="horz" wrap="square" anchor="ctr" anchorCtr="1"/>
              <a:lstStyle/>
              <a:p>
                <a:pPr lvl="0">
                  <a:defRPr sz="1000" b="0" i="0" u="none" strike="noStrike" kern="1200" baseline="0">
                    <a:solidFill>
                      <a:srgbClr val="000000"/>
                    </a:solidFill>
                    <a:latin typeface="+mn-lt"/>
                    <a:ea typeface="+mn-ea"/>
                    <a:cs typeface="+mn-cs"/>
                  </a:defRPr>
                </a:pPr>
                <a:r>
                  <a:rPr lang="en-AU" b="0">
                    <a:solidFill>
                      <a:srgbClr val="000000"/>
                    </a:solidFill>
                    <a:latin typeface="+mn-lt"/>
                  </a:rPr>
                  <a:t>Number of students</a:t>
                </a:r>
              </a:p>
            </c:rich>
          </c:tx>
          <c:overlay val="0"/>
          <c:spPr>
            <a:noFill/>
            <a:ln>
              <a:noFill/>
            </a:ln>
            <a:effectLst/>
          </c:spPr>
        </c:title>
        <c:numFmt formatCode="General" sourceLinked="1"/>
        <c:majorTickMark val="none"/>
        <c:minorTickMark val="none"/>
        <c:tickLblPos val="nextTo"/>
        <c:spPr>
          <a:noFill/>
          <a:ln w="6350" cap="flat" cmpd="sng" algn="ctr">
            <a:solidFill>
              <a:schemeClr val="tx1"/>
            </a:solidFill>
            <a:prstDash val="solid"/>
            <a:round/>
          </a:ln>
          <a:effectLst/>
        </c:spPr>
        <c:txPr>
          <a:bodyPr rot="-60000000" spcFirstLastPara="1" vertOverflow="ellipsis" vert="horz" wrap="square" anchor="ctr" anchorCtr="1"/>
          <a:lstStyle/>
          <a:p>
            <a:pPr lvl="0">
              <a:defRPr sz="1000" b="0" i="0" u="none" strike="noStrike" kern="1200" baseline="0">
                <a:solidFill>
                  <a:srgbClr val="000000"/>
                </a:solidFill>
                <a:latin typeface="+mn-lt"/>
                <a:ea typeface="+mn-ea"/>
                <a:cs typeface="+mn-cs"/>
              </a:defRPr>
            </a:pPr>
            <a:endParaRPr lang="en-US"/>
          </a:p>
        </c:txPr>
        <c:crossAx val="94644166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lvl="0">
            <a:defRPr sz="1000" b="0" i="0" u="none" strike="noStrike" kern="1200" baseline="0">
              <a:solidFill>
                <a:srgbClr val="1A1A1A"/>
              </a:solidFill>
              <a:latin typeface="+mn-lt"/>
              <a:ea typeface="+mn-ea"/>
              <a:cs typeface="+mn-cs"/>
            </a:defRPr>
          </a:pPr>
          <a:endParaRPr lang="en-US"/>
        </a:p>
      </c:txPr>
    </c:legend>
    <c:plotVisOnly val="1"/>
    <c:dispBlanksAs val="zero"/>
    <c:showDLblsOverMax val="1"/>
  </c:chart>
  <c:spPr>
    <a:solidFill>
      <a:schemeClr val="bg1"/>
    </a:solidFill>
    <a:ln w="6350" cap="flat" cmpd="sng" algn="ctr">
      <a:solidFill>
        <a:schemeClr val="tx1">
          <a:tint val="7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rtl="0"/>
            <a:r>
              <a:rPr lang="en-AU" sz="1400" b="0" i="0" baseline="0">
                <a:solidFill>
                  <a:srgbClr val="595959"/>
                </a:solidFill>
                <a:effectLst/>
                <a:latin typeface="+mj-lt"/>
              </a:rPr>
              <a:t>AST 3 </a:t>
            </a:r>
            <a:r>
              <a:rPr lang="en-AU" sz="1400">
                <a:solidFill>
                  <a:srgbClr val="595959"/>
                </a:solidFill>
                <a:effectLst/>
                <a:latin typeface="+mj-lt"/>
              </a:rPr>
              <a:t>–</a:t>
            </a:r>
            <a:r>
              <a:rPr lang="en-AU" sz="1400" b="0" i="0" baseline="0">
                <a:solidFill>
                  <a:srgbClr val="595959"/>
                </a:solidFill>
                <a:effectLst/>
                <a:latin typeface="+mj-lt"/>
              </a:rPr>
              <a:t> Boys' motor quotient score histogram</a:t>
            </a:r>
            <a:endParaRPr lang="en-AU" sz="1400">
              <a:solidFill>
                <a:srgbClr val="595959"/>
              </a:solidFill>
              <a:effectLst/>
              <a:latin typeface="+mj-lt"/>
            </a:endParaRPr>
          </a:p>
        </cx:rich>
      </cx:tx>
    </cx:title>
    <cx:plotArea>
      <cx:plotAreaRegion>
        <cx:series layoutId="clusteredColumn" uniqueId="{E58C0BFE-F256-4AD4-9CBA-CCCD8AA2C8A4}">
          <cx:dataId val="0"/>
          <cx:layoutPr>
            <cx:binning intervalClosed="r">
              <cx:binCount val="7"/>
            </cx:binning>
          </cx:layoutPr>
        </cx:series>
      </cx:plotAreaRegion>
      <cx:axis id="0">
        <cx:catScaling gapWidth="0"/>
        <cx:title>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900" b="0" i="0" u="none" strike="noStrike" baseline="0">
                    <a:solidFill>
                      <a:srgbClr val="000000">
                        <a:lumMod val="65000"/>
                        <a:lumOff val="35000"/>
                      </a:srgbClr>
                    </a:solidFill>
                    <a:effectLst/>
                    <a:latin typeface="Arial"/>
                    <a:ea typeface="Arial"/>
                    <a:cs typeface="Arial"/>
                  </a:rPr>
                  <a:t>Distribution of boys' motor quotient score</a:t>
                </a:r>
                <a:endParaRPr lang="en-AU">
                  <a:effectLst/>
                </a:endParaRPr>
              </a:p>
            </cx:rich>
          </cx:tx>
        </cx:titl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title>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900" b="0" i="0" u="none" strike="noStrike" baseline="0">
                    <a:solidFill>
                      <a:srgbClr val="000000">
                        <a:lumMod val="65000"/>
                        <a:lumOff val="35000"/>
                      </a:srgbClr>
                    </a:solidFill>
                    <a:effectLst/>
                    <a:latin typeface="Arial"/>
                    <a:ea typeface="Arial"/>
                    <a:cs typeface="Arial"/>
                  </a:rPr>
                  <a:t>Frequency</a:t>
                </a:r>
                <a:endParaRPr lang="en-AU">
                  <a:effectLst/>
                </a:endParaRPr>
              </a:p>
            </cx:rich>
          </cx:tx>
        </cx:title>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4.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121920</xdr:colOff>
          <xdr:row>2</xdr:row>
          <xdr:rowOff>45720</xdr:rowOff>
        </xdr:from>
        <xdr:to>
          <xdr:col>8</xdr:col>
          <xdr:colOff>198120</xdr:colOff>
          <xdr:row>2</xdr:row>
          <xdr:rowOff>510540</xdr:rowOff>
        </xdr:to>
        <xdr:sp macro="" textlink="">
          <xdr:nvSpPr>
            <xdr:cNvPr id="14351" name="Button 15"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200" b="1" i="0" u="none" strike="noStrike" baseline="0">
                  <a:solidFill>
                    <a:srgbClr val="000000"/>
                  </a:solidFill>
                  <a:latin typeface="Arial"/>
                  <a:cs typeface="Arial"/>
                </a:rPr>
                <a:t>End of Year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xdr:colOff>
          <xdr:row>2</xdr:row>
          <xdr:rowOff>68580</xdr:rowOff>
        </xdr:from>
        <xdr:to>
          <xdr:col>3</xdr:col>
          <xdr:colOff>708660</xdr:colOff>
          <xdr:row>2</xdr:row>
          <xdr:rowOff>533400</xdr:rowOff>
        </xdr:to>
        <xdr:sp macro="" textlink="">
          <xdr:nvSpPr>
            <xdr:cNvPr id="14353" name="Button 17"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200" b="1" i="0" u="none" strike="noStrike" baseline="0">
                  <a:solidFill>
                    <a:srgbClr val="000000"/>
                  </a:solidFill>
                  <a:latin typeface="Arial"/>
                  <a:cs typeface="Arial"/>
                </a:rPr>
                <a:t>Select Class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800100</xdr:colOff>
          <xdr:row>2</xdr:row>
          <xdr:rowOff>53340</xdr:rowOff>
        </xdr:from>
        <xdr:to>
          <xdr:col>6</xdr:col>
          <xdr:colOff>15240</xdr:colOff>
          <xdr:row>2</xdr:row>
          <xdr:rowOff>518160</xdr:rowOff>
        </xdr:to>
        <xdr:sp macro="" textlink="">
          <xdr:nvSpPr>
            <xdr:cNvPr id="14354" name="Button 18" hidden="1">
              <a:extLst>
                <a:ext uri="{63B3BB69-23CF-44E3-9099-C40C66FF867C}">
                  <a14:compatExt spid="_x0000_s14354"/>
                </a:ext>
                <a:ext uri="{FF2B5EF4-FFF2-40B4-BE49-F238E27FC236}">
                  <a16:creationId xmlns:a16="http://schemas.microsoft.com/office/drawing/2014/main" id="{00000000-0008-0000-0000-000012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1200" b="1" i="0" u="none" strike="noStrike" baseline="0">
                  <a:solidFill>
                    <a:srgbClr val="000000"/>
                  </a:solidFill>
                  <a:latin typeface="Arial"/>
                  <a:cs typeface="Arial"/>
                </a:rPr>
                <a:t>Import Prev. Year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10</xdr:col>
      <xdr:colOff>250767</xdr:colOff>
      <xdr:row>15</xdr:row>
      <xdr:rowOff>17376</xdr:rowOff>
    </xdr:from>
    <xdr:ext cx="7406640" cy="2555875"/>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161925</xdr:colOff>
      <xdr:row>2</xdr:row>
      <xdr:rowOff>95250</xdr:rowOff>
    </xdr:from>
    <xdr:ext cx="7445375" cy="4540250"/>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10</xdr:col>
      <xdr:colOff>180802</xdr:colOff>
      <xdr:row>13</xdr:row>
      <xdr:rowOff>318481</xdr:rowOff>
    </xdr:from>
    <xdr:ext cx="7307580" cy="2555875"/>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179071</xdr:colOff>
      <xdr:row>2</xdr:row>
      <xdr:rowOff>85725</xdr:rowOff>
    </xdr:from>
    <xdr:ext cx="7340600" cy="4327525"/>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10</xdr:col>
      <xdr:colOff>194657</xdr:colOff>
      <xdr:row>15</xdr:row>
      <xdr:rowOff>15297</xdr:rowOff>
    </xdr:from>
    <xdr:ext cx="7437120" cy="2581275"/>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225425</xdr:colOff>
      <xdr:row>2</xdr:row>
      <xdr:rowOff>57150</xdr:rowOff>
    </xdr:from>
    <xdr:ext cx="7445375" cy="4591050"/>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10</xdr:col>
      <xdr:colOff>299356</xdr:colOff>
      <xdr:row>14</xdr:row>
      <xdr:rowOff>241934</xdr:rowOff>
    </xdr:from>
    <xdr:ext cx="7467600" cy="2540001"/>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271145</xdr:colOff>
      <xdr:row>2</xdr:row>
      <xdr:rowOff>88900</xdr:rowOff>
    </xdr:from>
    <xdr:ext cx="7483475" cy="4543425"/>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11</xdr:col>
      <xdr:colOff>214053</xdr:colOff>
      <xdr:row>14</xdr:row>
      <xdr:rowOff>174510</xdr:rowOff>
    </xdr:from>
    <xdr:ext cx="7924800" cy="2746375"/>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11</xdr:col>
      <xdr:colOff>274320</xdr:colOff>
      <xdr:row>2</xdr:row>
      <xdr:rowOff>101600</xdr:rowOff>
    </xdr:from>
    <xdr:ext cx="7917179" cy="4073525"/>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11</xdr:col>
      <xdr:colOff>153786</xdr:colOff>
      <xdr:row>13</xdr:row>
      <xdr:rowOff>117592</xdr:rowOff>
    </xdr:from>
    <xdr:ext cx="7185660" cy="2667000"/>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11</xdr:col>
      <xdr:colOff>120651</xdr:colOff>
      <xdr:row>2</xdr:row>
      <xdr:rowOff>53974</xdr:rowOff>
    </xdr:from>
    <xdr:ext cx="7229474" cy="443865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12</xdr:col>
      <xdr:colOff>317269</xdr:colOff>
      <xdr:row>14</xdr:row>
      <xdr:rowOff>36485</xdr:rowOff>
    </xdr:from>
    <xdr:ext cx="7429499" cy="234950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12</xdr:col>
      <xdr:colOff>279401</xdr:colOff>
      <xdr:row>2</xdr:row>
      <xdr:rowOff>101600</xdr:rowOff>
    </xdr:from>
    <xdr:ext cx="7435850" cy="4406900"/>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13</xdr:col>
      <xdr:colOff>143395</xdr:colOff>
      <xdr:row>14</xdr:row>
      <xdr:rowOff>81684</xdr:rowOff>
    </xdr:from>
    <xdr:ext cx="7559040" cy="255587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100330</xdr:colOff>
      <xdr:row>2</xdr:row>
      <xdr:rowOff>37465</xdr:rowOff>
    </xdr:from>
    <xdr:ext cx="7610475" cy="4705350"/>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10</xdr:col>
      <xdr:colOff>153459</xdr:colOff>
      <xdr:row>2</xdr:row>
      <xdr:rowOff>66675</xdr:rowOff>
    </xdr:from>
    <xdr:ext cx="7429500" cy="4552950"/>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121228</xdr:colOff>
      <xdr:row>14</xdr:row>
      <xdr:rowOff>89767</xdr:rowOff>
    </xdr:from>
    <xdr:ext cx="7277099" cy="2476500"/>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dr:oneCellAnchor>
    <xdr:from>
      <xdr:col>13</xdr:col>
      <xdr:colOff>228600</xdr:colOff>
      <xdr:row>27</xdr:row>
      <xdr:rowOff>92075</xdr:rowOff>
    </xdr:from>
    <xdr:ext cx="7749540" cy="2428875"/>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212090</xdr:colOff>
      <xdr:row>2</xdr:row>
      <xdr:rowOff>117475</xdr:rowOff>
    </xdr:from>
    <xdr:ext cx="7769225" cy="4629150"/>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dr:oneCellAnchor>
    <xdr:from>
      <xdr:col>12</xdr:col>
      <xdr:colOff>174567</xdr:colOff>
      <xdr:row>13</xdr:row>
      <xdr:rowOff>72563</xdr:rowOff>
    </xdr:from>
    <xdr:ext cx="7764779" cy="2682875"/>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12</xdr:col>
      <xdr:colOff>113524</xdr:colOff>
      <xdr:row>2</xdr:row>
      <xdr:rowOff>156986</xdr:rowOff>
    </xdr:from>
    <xdr:ext cx="7804785" cy="4295775"/>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13.xml><?xml version="1.0" encoding="utf-8"?>
<xdr:wsDr xmlns:xdr="http://schemas.openxmlformats.org/drawingml/2006/spreadsheetDrawing" xmlns:a="http://schemas.openxmlformats.org/drawingml/2006/main">
  <xdr:twoCellAnchor>
    <xdr:from>
      <xdr:col>9</xdr:col>
      <xdr:colOff>735677</xdr:colOff>
      <xdr:row>12</xdr:row>
      <xdr:rowOff>197485</xdr:rowOff>
    </xdr:from>
    <xdr:to>
      <xdr:col>16</xdr:col>
      <xdr:colOff>1080655</xdr:colOff>
      <xdr:row>18</xdr:row>
      <xdr:rowOff>207819</xdr:rowOff>
    </xdr:to>
    <xdr:graphicFrame macro="">
      <xdr:nvGraphicFramePr>
        <xdr:cNvPr id="2" name="Chart 1">
          <a:extLst>
            <a:ext uri="{FF2B5EF4-FFF2-40B4-BE49-F238E27FC236}">
              <a16:creationId xmlns:a16="http://schemas.microsoft.com/office/drawing/2014/main" id="{0AEBEAA7-EEAC-4FBA-A2BA-951AEF5553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9526</xdr:colOff>
      <xdr:row>2</xdr:row>
      <xdr:rowOff>95251</xdr:rowOff>
    </xdr:from>
    <xdr:to>
      <xdr:col>16</xdr:col>
      <xdr:colOff>1094509</xdr:colOff>
      <xdr:row>11</xdr:row>
      <xdr:rowOff>304801</xdr:rowOff>
    </xdr:to>
    <xdr:graphicFrame macro="">
      <xdr:nvGraphicFramePr>
        <xdr:cNvPr id="3" name="Chart 2">
          <a:extLst>
            <a:ext uri="{FF2B5EF4-FFF2-40B4-BE49-F238E27FC236}">
              <a16:creationId xmlns:a16="http://schemas.microsoft.com/office/drawing/2014/main" id="{C240E118-F447-413E-99AA-9984C4476FB4}"/>
            </a:ext>
            <a:ext uri="{147F2762-F138-4A5C-976F-8EAC2B608ADB}">
              <a16:predDERef xmlns:a16="http://schemas.microsoft.com/office/drawing/2014/main" pred="{EE85C67F-A96B-4205-B269-303DB12950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oneCellAnchor>
    <xdr:from>
      <xdr:col>41</xdr:col>
      <xdr:colOff>220980</xdr:colOff>
      <xdr:row>18</xdr:row>
      <xdr:rowOff>94828</xdr:rowOff>
    </xdr:from>
    <xdr:ext cx="5390728" cy="3097952"/>
    <xdr:graphicFrame macro="">
      <xdr:nvGraphicFramePr>
        <xdr:cNvPr id="9" name="Chart 9" title="Chart">
          <a:extLst>
            <a:ext uri="{FF2B5EF4-FFF2-40B4-BE49-F238E27FC236}">
              <a16:creationId xmlns:a16="http://schemas.microsoft.com/office/drawing/2014/main" id="{5DD07E3F-7688-4F75-A9E6-1CAC3044A778}"/>
            </a:ext>
            <a:ext uri="{147F2762-F138-4A5C-976F-8EAC2B608ADB}">
              <a16:predDERef xmlns:a16="http://schemas.microsoft.com/office/drawing/2014/main" pred="{1DBD8346-5CCA-444D-9927-9A1CFE14A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41</xdr:col>
      <xdr:colOff>236220</xdr:colOff>
      <xdr:row>35</xdr:row>
      <xdr:rowOff>88690</xdr:rowOff>
    </xdr:from>
    <xdr:ext cx="5350933" cy="3165050"/>
    <xdr:graphicFrame macro="">
      <xdr:nvGraphicFramePr>
        <xdr:cNvPr id="10" name="Chart 10" title="Chart">
          <a:extLst>
            <a:ext uri="{FF2B5EF4-FFF2-40B4-BE49-F238E27FC236}">
              <a16:creationId xmlns:a16="http://schemas.microsoft.com/office/drawing/2014/main" id="{CD5B0032-E9BB-4E5B-9E86-89C657CB53A7}"/>
            </a:ext>
            <a:ext uri="{147F2762-F138-4A5C-976F-8EAC2B608ADB}">
              <a16:predDERef xmlns:a16="http://schemas.microsoft.com/office/drawing/2014/main" pred="{E2D45D76-B999-4951-8EDC-92BCA4762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twoCellAnchor>
    <xdr:from>
      <xdr:col>41</xdr:col>
      <xdr:colOff>243840</xdr:colOff>
      <xdr:row>2</xdr:row>
      <xdr:rowOff>124884</xdr:rowOff>
    </xdr:from>
    <xdr:to>
      <xdr:col>47</xdr:col>
      <xdr:colOff>541020</xdr:colOff>
      <xdr:row>17</xdr:row>
      <xdr:rowOff>95251</xdr:rowOff>
    </xdr:to>
    <mc:AlternateContent xmlns:mc="http://schemas.openxmlformats.org/markup-compatibility/2006">
      <mc:Choice xmlns:cx1="http://schemas.microsoft.com/office/drawing/2015/9/8/chartex" Requires="cx1">
        <xdr:graphicFrame macro="">
          <xdr:nvGraphicFramePr>
            <xdr:cNvPr id="13" name="Chart 5">
              <a:extLst>
                <a:ext uri="{FF2B5EF4-FFF2-40B4-BE49-F238E27FC236}">
                  <a16:creationId xmlns:a16="http://schemas.microsoft.com/office/drawing/2014/main" id="{F3619625-841E-4728-84B5-FEC46F3EBD42}"/>
                </a:ext>
                <a:ext uri="{147F2762-F138-4A5C-976F-8EAC2B608ADB}">
                  <a16:predDERef xmlns:a16="http://schemas.microsoft.com/office/drawing/2014/main" pred="{C8339F8A-5F77-41A1-B5C3-9F74BF5F119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6060400" y="886884"/>
              <a:ext cx="3954780" cy="3323167"/>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oneCellAnchor>
    <xdr:from>
      <xdr:col>13</xdr:col>
      <xdr:colOff>358833</xdr:colOff>
      <xdr:row>13</xdr:row>
      <xdr:rowOff>337070</xdr:rowOff>
    </xdr:from>
    <xdr:ext cx="7056120" cy="2962275"/>
    <xdr:graphicFrame macro="">
      <xdr:nvGraphicFramePr>
        <xdr:cNvPr id="2" name="Chart 1" title="Chart">
          <a:extLst>
            <a:ext uri="{FF2B5EF4-FFF2-40B4-BE49-F238E27FC236}">
              <a16:creationId xmlns:a16="http://schemas.microsoft.com/office/drawing/2014/main" id="{198A3414-995E-45D8-AB97-DB15389D59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454025</xdr:colOff>
      <xdr:row>3</xdr:row>
      <xdr:rowOff>114300</xdr:rowOff>
    </xdr:from>
    <xdr:ext cx="7019925" cy="4292600"/>
    <xdr:graphicFrame macro="">
      <xdr:nvGraphicFramePr>
        <xdr:cNvPr id="3" name="Chart 2" title="Chart">
          <a:extLst>
            <a:ext uri="{FF2B5EF4-FFF2-40B4-BE49-F238E27FC236}">
              <a16:creationId xmlns:a16="http://schemas.microsoft.com/office/drawing/2014/main" id="{5471E555-5363-477C-9679-EAE2E1BD4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duvic.sharepoint.com/sites/EDUVIC-HPSStaff/Shared%20Documents/Specialists/2025/PE/Assessment/Combined%20Skills/ASTScorecard.xlsx" TargetMode="External"/><Relationship Id="rId1" Type="http://schemas.openxmlformats.org/officeDocument/2006/relationships/externalLinkPath" Target="https://eduvic.sharepoint.com/sites/EDUVIC-HPSStaff/Shared%20Documents/Specialists/2025/PE/Assessment/Combined%20Skills/ASTScorecar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eduvic.sharepoint.com/sites/EDUVIC-HPSStaff/Shared%20Documents/Specialists/2024/P.E/Assessment/Combined%20Skills/56A%20Gymnastics%20Sequencing%20Scorecard.xlsx" TargetMode="External"/><Relationship Id="rId1" Type="http://schemas.openxmlformats.org/officeDocument/2006/relationships/externalLinkPath" Target="https://eduvic.sharepoint.com/sites/EDUVIC-HPSStaff/Shared%20Documents/Specialists/2024/P.E/Assessment/Combined%20Skills/56A%20Gymnastics%20Sequencing%20Scorec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ST 1"/>
      <sheetName val="AST 2"/>
      <sheetName val="AST 3"/>
    </sheetNames>
    <sheetDataSet>
      <sheetData sheetId="0"/>
      <sheetData sheetId="1"/>
      <sheetData sheetId="2">
        <row r="28">
          <cell r="E28" t="e">
            <v>#DIV/0!</v>
          </cell>
        </row>
        <row r="29">
          <cell r="E29" t="e">
            <v>#DIV/0!</v>
          </cell>
        </row>
        <row r="30">
          <cell r="E30" t="e">
            <v>#DIV/0!</v>
          </cell>
        </row>
        <row r="31">
          <cell r="E31" t="e">
            <v>#DIV/0!</v>
          </cell>
        </row>
        <row r="32">
          <cell r="E32" t="e">
            <v>#DIV/0!</v>
          </cell>
        </row>
        <row r="33">
          <cell r="E33" t="e">
            <v>#DIV/0!</v>
          </cell>
        </row>
        <row r="34">
          <cell r="E34" t="e">
            <v>#DIV/0!</v>
          </cell>
        </row>
        <row r="35">
          <cell r="E35" t="e">
            <v>#DIV/0!</v>
          </cell>
        </row>
        <row r="36">
          <cell r="E36" t="e">
            <v>#DIV/0!</v>
          </cell>
        </row>
        <row r="37">
          <cell r="E37" t="e">
            <v>#DIV/0!</v>
          </cell>
        </row>
        <row r="38">
          <cell r="E38" t="e">
            <v>#DIV/0!</v>
          </cell>
        </row>
        <row r="39">
          <cell r="E39" t="e">
            <v>#DIV/0!</v>
          </cell>
        </row>
        <row r="40">
          <cell r="E40" t="e">
            <v>#DIV/0!</v>
          </cell>
        </row>
        <row r="41">
          <cell r="E41" t="e">
            <v>#DIV/0!</v>
          </cell>
        </row>
        <row r="42">
          <cell r="E42" t="e">
            <v>#DIV/0!</v>
          </cell>
        </row>
        <row r="43">
          <cell r="E43" t="e">
            <v>#DIV/0!</v>
          </cell>
        </row>
        <row r="44">
          <cell r="E44" t="e">
            <v>#DIV/0!</v>
          </cell>
        </row>
        <row r="45">
          <cell r="E45" t="e">
            <v>#DIV/0!</v>
          </cell>
        </row>
        <row r="46">
          <cell r="E46" t="e">
            <v>#DIV/0!</v>
          </cell>
        </row>
        <row r="47">
          <cell r="E47" t="e">
            <v>#DIV/0!</v>
          </cell>
        </row>
        <row r="48">
          <cell r="E48" t="e">
            <v>#DIV/0!</v>
          </cell>
        </row>
        <row r="50">
          <cell r="G50" t="str">
            <v>If 10 Years Old</v>
          </cell>
          <cell r="I50" t="str">
            <v>If 12 Years Old</v>
          </cell>
        </row>
        <row r="51">
          <cell r="E51" t="str">
            <v>Excelling</v>
          </cell>
          <cell r="G51">
            <v>0</v>
          </cell>
          <cell r="I51">
            <v>0</v>
          </cell>
        </row>
        <row r="52">
          <cell r="E52" t="str">
            <v>Achieving</v>
          </cell>
          <cell r="G52">
            <v>0</v>
          </cell>
          <cell r="I52">
            <v>0</v>
          </cell>
        </row>
        <row r="53">
          <cell r="E53" t="str">
            <v>At level</v>
          </cell>
          <cell r="G53">
            <v>0</v>
          </cell>
          <cell r="I53">
            <v>0</v>
          </cell>
        </row>
        <row r="54">
          <cell r="E54" t="str">
            <v>Progressing</v>
          </cell>
          <cell r="G54">
            <v>0</v>
          </cell>
          <cell r="I54">
            <v>0</v>
          </cell>
        </row>
        <row r="55">
          <cell r="E55" t="str">
            <v>Beginning</v>
          </cell>
          <cell r="G55">
            <v>0</v>
          </cell>
          <cell r="I55">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uqSjHt2ctEyk5S5JwQg_SALqWnhTzt1JlPmumGg5JsnbGfkaEyCtSYlp5k-rGZUL" itemId="01CRYWBYJFJ77PDTA45NC3KKF5R7ZXG5DC">
      <xxl21:absoluteUrl r:id="rId2"/>
    </xxl21:alternateUrls>
    <sheetNames>
      <sheetName val="Run"/>
      <sheetName val="Rubrics"/>
      <sheetName val="VCAA copyright information"/>
    </sheetNames>
    <sheetDataSet>
      <sheetData sheetId="0">
        <row r="39">
          <cell r="H39" t="str">
            <v>Beginning</v>
          </cell>
          <cell r="I39">
            <v>15</v>
          </cell>
        </row>
        <row r="40">
          <cell r="H40" t="str">
            <v>Progressing</v>
          </cell>
          <cell r="I40">
            <v>4</v>
          </cell>
        </row>
        <row r="41">
          <cell r="H41" t="str">
            <v xml:space="preserve">Achieving </v>
          </cell>
          <cell r="I41">
            <v>9</v>
          </cell>
        </row>
        <row r="42">
          <cell r="H42" t="str">
            <v>Excelling</v>
          </cell>
          <cell r="I42">
            <v>2</v>
          </cell>
        </row>
      </sheetData>
      <sheetData sheetId="1"/>
      <sheetData sheetId="2"/>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A9701FB-BC3D-46D1-A9A1-ED234B0AAC03}" autoFormatId="16" applyNumberFormats="0" applyBorderFormats="0" applyFontFormats="0" applyPatternFormats="0" applyAlignmentFormats="0" applyWidthHeightFormats="0">
  <queryTableRefresh nextId="6">
    <queryTableFields count="5">
      <queryTableField id="1" name="Student Name" tableColumnId="1"/>
      <queryTableField id="2" name="Column5" tableColumnId="2"/>
      <queryTableField id="3" name="Column7" tableColumnId="3"/>
      <queryTableField id="4" name="Column9" tableColumnId="4"/>
      <queryTableField id="5" name="Column10" tableColumnId="5"/>
    </queryTableFields>
  </queryTableRefresh>
</queryTable>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8B0A2D-6D8E-493F-BF9C-F9DCBB7DFB3E}" name="Run" displayName="Run" ref="A3:I34" tableBorderDxfId="225">
  <autoFilter ref="A3:I34" xr:uid="{648B0A2D-6D8E-493F-BF9C-F9DCBB7DFB3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7EADF22-1DD1-4E09-8BFA-8B6BF79E65E2}" name="Student name" totalsRowLabel="Total" dataDxfId="224" totalsRowDxfId="223">
      <calculatedColumnFormula>'Class List'!A4</calculatedColumnFormula>
    </tableColumn>
    <tableColumn id="2" xr3:uid="{831277BE-CF11-4C2E-A75C-8E928A7E5566}" name="1. Eyes focused forward throughout the run" dataDxfId="222" totalsRowDxfId="221"/>
    <tableColumn id="3" xr3:uid="{7C86B25D-CABF-4611-A82C-9B2118A64552}" name="2. Knees bend at right angles during the recovery phase" dataDxfId="220" totalsRowDxfId="219"/>
    <tableColumn id="4" xr3:uid="{B0BAA7BA-B386-4E1D-97D8-CFA938DE0B04}" name="3. Arms bend at elbows and move in opposition to legs" dataDxfId="218" totalsRowDxfId="217"/>
    <tableColumn id="5" xr3:uid="{9487B283-B5B9-40E7-BBE2-3C5606CE370A}" name="4. Contact ground with front part of foot" dataDxfId="216" totalsRowDxfId="215"/>
    <tableColumn id="6" xr3:uid="{FD250FDB-7960-47F2-9186-4ADF37DCFD95}" name="5. Body leans slightly forward" dataDxfId="214" totalsRowDxfId="213"/>
    <tableColumn id="7" xr3:uid="{FB3202D1-FC6B-443A-A65A-FEA5742A02F3}" name="Age" dataDxfId="212">
      <calculatedColumnFormula>'Class List'!$C4</calculatedColumnFormula>
    </tableColumn>
    <tableColumn id="8" xr3:uid="{153920E2-F93B-494E-847F-87388798F9F2}" name="Score /5" dataDxfId="211">
      <calculatedColumnFormula>SUM(B4:F4)</calculatedColumnFormula>
    </tableColumn>
    <tableColumn id="9" xr3:uid="{07FFED32-7038-4F04-A84D-31DC3EAE9E95}" name="Norm" totalsRowFunction="count" dataDxfId="210">
      <calculatedColumnFormula>IFERROR(
   IF(H4 &lt;= INDEX($B$36:$B$46, MATCH(G4, $A$36:$A$46, 0)), "Beginning",
      IF(H4 &lt;= INDEX($C$36:$C$46, MATCH(G4, $A$36:$A$46, 0)), "Progressing",
         IF(H4 &lt;= INDEX($D$36:$D$46, MATCH(G4, $A$36:$A$46, 0)), "Achieving",
            IF(H4 &gt;= INDEX($E$36:$E$46, MATCH(G4, $A$36:$A$46, 0)), "Excelling", "Error")))),
   "Age Not Found")</calculatedColumnFormula>
    </tableColumn>
  </tableColumns>
  <tableStyleInfo name="TableStyleLight15"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911483-2422-4140-9582-7FA54930D843}" name="VerticalJump" displayName="VerticalJump" ref="A3:I34" totalsRowShown="0" tableBorderDxfId="203">
  <autoFilter ref="A3:I34" xr:uid="{E9911483-2422-4140-9582-7FA54930D8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EA6BE13F-A4C1-45E7-919E-DC7473977F87}" name="Student name" dataDxfId="202">
      <calculatedColumnFormula>'Class List'!A4</calculatedColumnFormula>
    </tableColumn>
    <tableColumn id="2" xr3:uid="{362B57A4-1816-41EC-8404-621635132BB7}" name="1. Eyes focused forwards or upwards throughout the jump" dataDxfId="201"/>
    <tableColumn id="3" xr3:uid="{6DC82092-DCF3-4502-9242-51991F5E2F92}" name="2. Crouch with knees bent and arms behind body" dataDxfId="200"/>
    <tableColumn id="4" xr3:uid="{5E15469F-8D23-4133-BCC5-946592F40DCD}" name="3. Forceful upward thrust of arms as legs straighten to take off" dataDxfId="199"/>
    <tableColumn id="5" xr3:uid="{FBB96458-7F4F-40A4-B6DE-E975ACC851AC}" name="4. Contact ground with front part of feet and bend knees to absorb force of landing" dataDxfId="198"/>
    <tableColumn id="6" xr3:uid="{43094B9D-62CA-4469-9364-D00B30888963}" name="5. Balanced landing with no more than one step in any direction" dataDxfId="197"/>
    <tableColumn id="7" xr3:uid="{15218DC2-C874-4430-A24F-B6E220E7530D}" name="Age" dataDxfId="196">
      <calculatedColumnFormula>'Class List'!$C4</calculatedColumnFormula>
    </tableColumn>
    <tableColumn id="8" xr3:uid="{9CB29CB5-B0CD-4E28-9CC1-7EE699F09141}" name="Score /5" dataDxfId="195">
      <calculatedColumnFormula>SUM(B4:F4)</calculatedColumnFormula>
    </tableColumn>
    <tableColumn id="9" xr3:uid="{75915F97-08C8-414A-AE92-9E14A444469E}" name="Norm" dataDxfId="194">
      <calculatedColumnFormula>IFERROR(
   IF(H4 &lt;= INDEX($B$36:$B$46, MATCH(G4, $A$36:$A$46, 0)), "Beginning",
      IF(H4 &lt;= INDEX($C$36:$C$46, MATCH(G4, $A$36:$A$46, 0)), "Progressing",
         IF(H4 &lt;= INDEX($D$36:$D$46, MATCH(G4, $A$36:$A$46, 0)), "Achieving",
            IF(H4 &gt;= INDEX($E$36:$E$46, MATCH(G4, $A$36:$A$46, 0)), "Excelling", "Error")))),
   "Age Not Found")</calculatedColumnFormula>
    </tableColumn>
  </tableColumns>
  <tableStyleInfo name="TableStyleLight15"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FA1CCFE-3A33-4485-99FB-3184A8ADC16D}" name="Leap" displayName="Leap" ref="A3:I34" totalsRowShown="0" tableBorderDxfId="187">
  <autoFilter ref="A3:I34" xr:uid="{8FA1CCFE-3A33-4485-99FB-3184A8ADC16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21ECDE87-0F64-4E76-B50E-9CDD1BBBC244}" name="Student name" dataDxfId="186">
      <calculatedColumnFormula>'Class List'!A4</calculatedColumnFormula>
    </tableColumn>
    <tableColumn id="2" xr3:uid="{E38FABFB-0A72-4CB6-9F2D-721A565F5DD7}" name="1. Forward movement sustained throughout the leap" dataDxfId="185"/>
    <tableColumn id="3" xr3:uid="{0AE84417-B3FC-41D9-9E74-09B5922D98BA}" name="2. Eyes focused forward throughout the leap" dataDxfId="184"/>
    <tableColumn id="4" xr3:uid="{F8FB098D-8579-44C7-9474-21110146B36A}" name="3. Take off from one foot and land on the opposite foot" dataDxfId="183"/>
    <tableColumn id="5" xr3:uid="{6CD9A3DC-9998-442E-90BD-610E3C85E519}" name="4. During flight legs are straightened with the arms held in opposition to legs" dataDxfId="182"/>
    <tableColumn id="6" xr3:uid="{2B1440FC-E07F-4A57-88B8-966FEC7D057A}" name="5. Controlled landing without losing balance" dataDxfId="181"/>
    <tableColumn id="7" xr3:uid="{50155621-F0DF-4662-B877-D1FBC71C236B}" name="Age" dataDxfId="180">
      <calculatedColumnFormula>'Class List'!$C4</calculatedColumnFormula>
    </tableColumn>
    <tableColumn id="8" xr3:uid="{476356C2-CF01-44C0-948C-25AC03691869}" name="Score /5" dataDxfId="179">
      <calculatedColumnFormula>SUM(B4:F4)</calculatedColumnFormula>
    </tableColumn>
    <tableColumn id="9" xr3:uid="{D15BE560-3475-4E92-B723-1FEDC8C50521}" name="Norm" dataDxfId="178">
      <calculatedColumnFormula>IFERROR(
   IF(H4 &lt;= INDEX($B$36:$B$46, MATCH(G4, $A$36:$A$46, 0)), "Beginning",
      IF(H4 &lt;= INDEX($C$36:$C$46, MATCH(G4, $A$36:$A$46, 0)), "Progressing",
         IF(H4 &lt;= INDEX($D$36:$D$46, MATCH(G4, $A$36:$A$46, 0)), "Achieving",
            IF(H4 &gt;= INDEX($E$36:$E$46, MATCH(G4, $A$36:$A$46, 0)), "Excelling", "Error")))),
   "Age Not Found")</calculatedColumnFormula>
    </tableColumn>
  </tableColumns>
  <tableStyleInfo name="TableStyleLight15"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4ADD562-160C-45BE-ABC5-E4E8834BD99A}" name="Dodge" displayName="Dodge" ref="A3:I34" totalsRowShown="0" tableBorderDxfId="171">
  <autoFilter ref="A3:I34" xr:uid="{14ADD562-160C-45BE-ABC5-E4E8834BD99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3F2BA9F-5720-4B26-A1E6-298F8A9C55B6}" name="Student name" dataDxfId="170">
      <calculatedColumnFormula>'Class List'!A4</calculatedColumnFormula>
    </tableColumn>
    <tableColumn id="2" xr3:uid="{60A48BAC-D2BD-402D-AD88-BF35AEE72D20}" name="1. Eyes focused in direction of travel throughout the dodge" dataDxfId="169"/>
    <tableColumn id="3" xr3:uid="{8AA9C123-EE9B-4B3A-A1CB-D368438ECB40}" name="2. Change direction by pushing off outside foot" dataDxfId="168"/>
    <tableColumn id="4" xr3:uid="{E6380A9A-F656-4ABD-B451-785D1A270BC0}" name="3. Body lowered during change of direction" dataDxfId="167"/>
    <tableColumn id="5" xr3:uid="{F7A3B4A9-F3A1-4EB2-AA3A-31DECD941B50}" name="4. Change of direction occurs in one step" dataDxfId="166"/>
    <tableColumn id="6" xr3:uid="{56D26AA1-266A-40BB-8F6F-8075FC961F8E}" name="5. Dodge repeated from right to left, left to right, and so on" dataDxfId="165"/>
    <tableColumn id="7" xr3:uid="{9C96F116-C389-4732-BC18-C74BA15C3DD3}" name="Age" dataDxfId="164">
      <calculatedColumnFormula>'Class List'!$C4</calculatedColumnFormula>
    </tableColumn>
    <tableColumn id="8" xr3:uid="{CDF33EC5-96C2-4BD9-BECB-E863E85F2FF0}" name="Score /5" dataDxfId="163">
      <calculatedColumnFormula>SUM(B4:F4)</calculatedColumnFormula>
    </tableColumn>
    <tableColumn id="9" xr3:uid="{6AB85604-2AEB-46AD-91F9-730B2FB0BF0E}" name="Norm" dataDxfId="162">
      <calculatedColumnFormula>IFERROR(
   IF(H4 &lt;= INDEX($B$36:$B$46, MATCH(G4, $A$36:$A$46, 0)), "Beginning",
      IF(H4 &lt;= INDEX($C$36:$C$46, MATCH(G4, $A$36:$A$46, 0)), "Progressing",
         IF(H4 &lt;= INDEX($D$36:$D$46, MATCH(G4, $A$36:$A$46, 0)), "Achieving",
            IF(H4 &gt;= INDEX($E$36:$E$46, MATCH(G4, $A$36:$A$46, 0)), "Excelling", "Error")))),
   "Age Not Found")</calculatedColumnFormula>
    </tableColumn>
  </tableColumns>
  <tableStyleInfo name="TableStyleLight15"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595477-96CC-4D6B-8C25-BD75C764BF69}" name="Table7" displayName="Table7" ref="A3:J34" totalsRowShown="0" tableBorderDxfId="155">
  <autoFilter ref="A3:J34" xr:uid="{AD595477-96CC-4D6B-8C25-BD75C764BF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8089AFD-C3D9-4F4F-8995-01587EEC3E93}" name="Student name" dataDxfId="154">
      <calculatedColumnFormula>'Class List'!A4</calculatedColumnFormula>
    </tableColumn>
    <tableColumn id="2" xr3:uid="{73B2C92E-FDB8-4CF1-AEF7-C1C1C890FED6}" name="1. Eyes are focused on the ball throughout the catch" dataDxfId="153"/>
    <tableColumn id="3" xr3:uid="{B55C023A-CBB0-4E86-A435-55D700E57DD9}" name="2. Preparatory position with elbows bent and hands in front of body" dataDxfId="152"/>
    <tableColumn id="4" xr3:uid="{071026F1-2B49-4AAC-9F91-AB6477CF0762}" name="3. Hands move to meet the ball" dataDxfId="151"/>
    <tableColumn id="5" xr3:uid="{DBFD7A77-8FC7-43B3-864C-11DF11C72970}" name="4. Hands and fingers positioned correctly to catch the ball" dataDxfId="150"/>
    <tableColumn id="6" xr3:uid="{4E48D310-A776-4B1D-A919-9FB68B8114BE}" name="5. Catch and control the ball with hands only" dataDxfId="149"/>
    <tableColumn id="7" xr3:uid="{78AAE530-8E8B-411F-BDFC-7651DBBF6FA1}" name="6. Elbows bend to absorb force of the ball" dataDxfId="148"/>
    <tableColumn id="8" xr3:uid="{30C6B5F8-F569-4348-89AF-4B134CFF928F}" name="Age" dataDxfId="147">
      <calculatedColumnFormula>'Class List'!$C4</calculatedColumnFormula>
    </tableColumn>
    <tableColumn id="9" xr3:uid="{B0D103A5-2831-4A0B-A3E3-C7EA3F324D52}" name="Score /6" dataDxfId="146">
      <calculatedColumnFormula>SUM(B4:G4)</calculatedColumnFormula>
    </tableColumn>
    <tableColumn id="10" xr3:uid="{E54F0082-BCAD-4424-B01E-88C047D6BEA8}" name="Norm" dataDxfId="145">
      <calculatedColumnFormula>IFERROR(
   IF(I4 &lt;= INDEX($B$36:$B$46, MATCH(H4, $A$36:$A$46, 0)), "Beginning",
      IF(I4 &lt;= INDEX($C$36:$C$46, MATCH(H4, $A$36:$A$46, 0)), "Progressing",
         IF(I4 &lt;= INDEX($D$36:$D$46, MATCH(H4, $A$36:$A$46, 0)), "Achieving",
            IF(I4 &gt;= INDEX($E$36:$E$46, MATCH(H4, $A$36:$A$46, 0)), "Excelling", "Error")))),
   "Age Not Found")</calculatedColumnFormula>
    </tableColumn>
  </tableColumns>
  <tableStyleInfo name="TableStyleLight15"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BFA15A-7C3E-4831-A449-88299FA583D5}" name="OverhandThrow" displayName="OverhandThrow" ref="A3:J34" totalsRowShown="0" tableBorderDxfId="138">
  <autoFilter ref="A3:J34" xr:uid="{BBBFA15A-7C3E-4831-A449-88299FA583D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36EB430-B659-402D-941A-EF49624F236B}" name="Student name" dataDxfId="137">
      <calculatedColumnFormula>'Class List'!A4</calculatedColumnFormula>
    </tableColumn>
    <tableColumn id="2" xr3:uid="{ECFBAC85-3D1F-4786-9EBC-23C3CFB57987}" name="1. Eyes are focused on the target throughout the throw" dataDxfId="136"/>
    <tableColumn id="3" xr3:uid="{71095058-2EFC-497D-9F2B-3917B8F3FD3F}" name="2. Stands side-on to the target " dataDxfId="135"/>
    <tableColumn id="4" xr3:uid="{3C5B2D24-83E5-4A05-9022-8B1AE2157F3B}" name="3. Throwing arm nearly straightened behind the body" dataDxfId="134"/>
    <tableColumn id="5" xr3:uid="{057775BE-797A-4F84-AA87-3F53C5D988F3}" name="4. Step towards the target with foot opposite throwing arm during the throw" dataDxfId="133"/>
    <tableColumn id="6" xr3:uid="{5F085565-CD82-42B4-BD34-A5ACA9BB2407}" name="5. Marked sequential hip to shoulder rotation during the throw" dataDxfId="132"/>
    <tableColumn id="7" xr3:uid="{66C13BB9-5308-43F8-8C6C-DCDDCA63F872}" name="6. Throwing arm follows through down and across the body" dataDxfId="131"/>
    <tableColumn id="8" xr3:uid="{CA94DD13-A955-4601-8540-2458F92C05B6}" name="Age" dataDxfId="130">
      <calculatedColumnFormula>'Class List'!$C4</calculatedColumnFormula>
    </tableColumn>
    <tableColumn id="9" xr3:uid="{40FF13FC-3BEA-4B6B-BE52-244EBFE99A21}" name="Score /6" dataDxfId="129">
      <calculatedColumnFormula>SUM(B4:G4)</calculatedColumnFormula>
    </tableColumn>
    <tableColumn id="10" xr3:uid="{53586466-7182-46D0-AFAC-0E4B408666C5}" name="Norm" dataDxfId="128">
      <calculatedColumnFormula>IFERROR(
   IF(I4 &lt;= INDEX($B$36:$B$46, MATCH(H4, $A$36:$A$46, 0)), "Beginning",
      IF(I4 &lt;= INDEX($C$36:$C$46, MATCH(H4, $A$36:$A$46, 0)), "Progressing",
         IF(I4 &lt;= INDEX($D$36:$D$46, MATCH(H4, $A$36:$A$46, 0)), "Achieving",
            IF(I4 &gt;= INDEX($E$36:$E$46, MATCH(H4, $A$36:$A$46, 0)), "Excelling", "Error")))),
   "Age Not Found")</calculatedColumnFormula>
    </tableColumn>
  </tableColumns>
  <tableStyleInfo name="TableStyleLight15"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712D04C-3B44-478D-8166-825854690520}" name="Kick" displayName="Kick" ref="A3:K34" totalsRowShown="0" tableBorderDxfId="121">
  <autoFilter ref="A3:K34" xr:uid="{6712D04C-3B44-478D-8166-82585469052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3E2039ED-AB4F-4828-8CEB-752F76D83A87}" name="Student name" dataDxfId="120">
      <calculatedColumnFormula>'Class List'!A4</calculatedColumnFormula>
    </tableColumn>
    <tableColumn id="2" xr3:uid="{6E898896-B450-4F4A-A78D-91121C3854E2}" name="1. Eyes are focused on the ball throughout the kick" dataDxfId="119"/>
    <tableColumn id="3" xr3:uid="{36061B60-EAF5-42AC-9CDC-46B7295161EA}" name="2. Step forward with non-kicking foot placed near the ball" dataDxfId="118"/>
    <tableColumn id="4" xr3:uid="{709676DD-5509-4C50-8C3F-91E5A4E9D856}" name="3. Bend knee of kicking leg during the backswing for the kick" dataDxfId="117"/>
    <tableColumn id="5" xr3:uid="{E0A24770-F758-4FDE-8D7A-8AECF813276C}" name="4. Hip extension and knee flexion of at least 90º during preliminary kicking movement" dataDxfId="116"/>
    <tableColumn id="6" xr3:uid="{903DBBEA-39DF-468D-998B-09AAC38C7F60}" name="5. Contact the ball with the top of the foot" dataDxfId="115"/>
    <tableColumn id="7" xr3:uid="{C1F84B3E-CC22-4DFA-A9B5-43DD5985DA70}" name="6. Forward and sideward swing of arm opposite kicking leg" dataDxfId="114"/>
    <tableColumn id="8" xr3:uid="{B9D02A5E-258A-487B-B39A-4886ADC27D9C}" name="7. Kicking leg follows through towards the target after ball contact" dataDxfId="113"/>
    <tableColumn id="9" xr3:uid="{F1B9DD5E-4047-45FC-8D92-CB150D78BAA0}" name="Age" dataDxfId="112">
      <calculatedColumnFormula>'Class List'!$C4</calculatedColumnFormula>
    </tableColumn>
    <tableColumn id="10" xr3:uid="{E47C0408-A6F2-4A2F-876F-15EE2472F2F1}" name="Score /7" dataDxfId="111">
      <calculatedColumnFormula>SUM(B4:H4)</calculatedColumnFormula>
    </tableColumn>
    <tableColumn id="11" xr3:uid="{80C5171D-7CE2-4E1C-AB4D-6B4EA5EB1575}" name="Norm" dataDxfId="110">
      <calculatedColumnFormula>IFERROR(
   IF(J4 &lt;= INDEX($B$36:$B$46, MATCH(I4, $A$36:$A$46, 0)), "Beginning",
      IF(J4 &lt;= INDEX($C$36:$C$46, MATCH(I4, $A$36:$A$46, 0)), "Progressing",
         IF(J4 &lt;= INDEX($D$36:$D$46, MATCH(I4, $A$36:$A$46, 0)), "Achieving",
            IF(J4 &gt;= INDEX($E$36:$E$46, MATCH(I4, $A$36:$A$46, 0)), "Excelling", "Error")))),
   "Age Not Found")</calculatedColumnFormula>
    </tableColumn>
  </tableColumns>
  <tableStyleInfo name="TableStyleLight15"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B3AAAA8-0B32-43EA-972B-87D06272DCB3}" name="Punt" displayName="Punt" ref="A3:L34" totalsRowShown="0" tableBorderDxfId="103">
  <autoFilter ref="A3:L34" xr:uid="{7B3AAAA8-0B32-43EA-972B-87D06272DCB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A9611A19-6212-4822-92A7-DE092ADA9562}" name="Student name" dataDxfId="102">
      <calculatedColumnFormula>'Class List'!A4</calculatedColumnFormula>
    </tableColumn>
    <tableColumn id="2" xr3:uid="{5E8E63B7-0106-45BF-9E1A-5BA439CA6EB9}" name="1. Eyes are focused on the ball throughout the punt" dataDxfId="101"/>
    <tableColumn id="3" xr3:uid="{7083446D-E622-4B29-BC41-F6D54A702E87}" name="2. Ball held at about hip height in front of punting" dataDxfId="100"/>
    <tableColumn id="4" xr3:uid="{9ED91454-0A51-4AAB-9C3A-0CF2D0235884}" name="3. Step forward onto non-punting foot" dataDxfId="99"/>
    <tableColumn id="5" xr3:uid="{1BAECD4A-1ABB-480F-BD99-002F300EEC66}" name="4. Bend knee of kicking leg during the backswing for the punt " dataDxfId="98"/>
    <tableColumn id="6" xr3:uid="{7D0D3FF8-966D-4CCF-BA87-E2838EFEE982}" name="5. Hip extension and knee flexion of at least 90º during preliminary punting movement" dataDxfId="97"/>
    <tableColumn id="7" xr3:uid="{57A46F19-9EA9-46E6-A114-A81E83B6747F}" name="6. Guide ball down, with one hand, so it makes contact with the top of the foot" dataDxfId="96"/>
    <tableColumn id="8" xr3:uid="{4960DF48-8134-4BA6-907E-EFB5E73BE4D7}" name="7. Forward and sideward swing of arm opposite punting leg" dataDxfId="95"/>
    <tableColumn id="9" xr3:uid="{4471CFD8-BDA6-4C41-8B4B-87558E0718CB}" name="8. Punting leg follows through towards the target after ball contact" dataDxfId="94"/>
    <tableColumn id="10" xr3:uid="{445DBC22-3260-4EEE-A584-E58236AAFA55}" name="Age" dataDxfId="93">
      <calculatedColumnFormula>'Class List'!$C4</calculatedColumnFormula>
    </tableColumn>
    <tableColumn id="11" xr3:uid="{26D93B86-9ECA-4B5D-98D0-FA0DC8A41329}" name="Score /8" dataDxfId="92">
      <calculatedColumnFormula>SUM(B4:I4)</calculatedColumnFormula>
    </tableColumn>
    <tableColumn id="12" xr3:uid="{8085B1E1-CF30-4D1B-AAF0-E1887A6A4D47}" name="Norm" dataDxfId="91">
      <calculatedColumnFormula>IFERROR(
   IF(K4 &lt;= INDEX($B$36:$B$46, MATCH(J4, $A$36:$A$46, 0)), "Beginning",
      IF(K4 &lt;= INDEX($C$36:$C$46, MATCH(J4, $A$36:$A$46, 0)), "Progressing",
         IF(K4 &lt;= INDEX($D$36:$D$46, MATCH(J4, $A$36:$A$46, 0)), "Achieving",
            IF(K4 &gt;= INDEX($E$36:$E$46, MATCH(J4, $A$36:$A$46, 0)), "Excelling", "Error")))),
   "Age Not Found")</calculatedColumnFormula>
    </tableColumn>
  </tableColumns>
  <tableStyleInfo name="TableStyleLight15"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4EE857-55CF-4547-B6B8-C91F242914EC}" name="Bounce" displayName="Bounce" ref="A3:I34" totalsRowShown="0" tableBorderDxfId="84">
  <autoFilter ref="A3:I34" xr:uid="{5A4EE857-55CF-4547-B6B8-C91F242914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E545373-4F2B-4D37-BE00-3A5689E70091}" name="Student name" dataDxfId="83">
      <calculatedColumnFormula>'Class List'!A4</calculatedColumnFormula>
    </tableColumn>
    <tableColumn id="2" xr3:uid="{0EFBB7DC-21DA-4871-9AAA-5B440DD195F5}" name="1. Eyes focused forward throughout the bounce" dataDxfId="82"/>
    <tableColumn id="3" xr3:uid="{E1292AF4-F514-4B46-B8C2-53BF612F9D39}" name="2. Contact the ball with the fingers of one hand at about hip height" dataDxfId="81"/>
    <tableColumn id="4" xr3:uid="{B87FE54A-C6AD-43AF-85AC-9F5595612017}" name="3. Wrist and elbows bend then straighten to push the ball" dataDxfId="80"/>
    <tableColumn id="5" xr3:uid="{AC653211-853F-462C-9254-F15E44045009}" name="4. Hips and knees slightly flexed during the bounce" dataDxfId="79"/>
    <tableColumn id="6" xr3:uid="{08C775D1-E326-4C6D-A27E-DF981CF5A5B8}" name="5. Ball bounces in front of and to the side of the body" dataDxfId="78"/>
    <tableColumn id="7" xr3:uid="{F4D46F35-6B52-480C-BD1F-18192B041D6C}" name="Age" dataDxfId="77">
      <calculatedColumnFormula>'Class List'!$C4</calculatedColumnFormula>
    </tableColumn>
    <tableColumn id="8" xr3:uid="{B5C6A573-1732-49FB-84FC-8A5301EA508A}" name="Score /5" dataDxfId="76">
      <calculatedColumnFormula>SUM(B4:F4)</calculatedColumnFormula>
    </tableColumn>
    <tableColumn id="9" xr3:uid="{4EFEB8B9-849A-4EDC-A315-35DB2AB37AE5}" name="Norm" dataDxfId="75">
      <calculatedColumnFormula>IFERROR(
   IF(H4 &lt;= INDEX($B$36:$B$46, MATCH(G4, $A$36:$A$46, 0)), "Beginning",
      IF(H4 &lt;= INDEX($C$36:$C$46, MATCH(G4, $A$36:$A$46, 0)), "Progressing",
         IF(H4 &lt;= INDEX($D$36:$D$46, MATCH(G4, $A$36:$A$46, 0)), "Achieving",
            IF(H4 &gt;= INDEX($E$36:$E$46, MATCH(G4, $A$36:$A$46, 0)), "Excelling", "Error")))),
   "Age Not Found")</calculatedColumnFormula>
    </tableColumn>
  </tableColumns>
  <tableStyleInfo name="TableStyleLight15"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B2D34E-669A-43F8-98CE-0DF962741E3F}" name="TwohandedStrike" displayName="TwohandedStrike" ref="A3:L34" totalsRowShown="0" tableBorderDxfId="68">
  <autoFilter ref="A3:L34" xr:uid="{F3B2D34E-669A-43F8-98CE-0DF962741E3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44CECA73-C9C8-465D-8140-0E8A9971633A}" name="Student name" dataDxfId="67">
      <calculatedColumnFormula>'Class List'!A4</calculatedColumnFormula>
    </tableColumn>
    <tableColumn id="2" xr3:uid="{33941EBD-22B7-4F00-866F-EF6498C0304F}" name="1. Eyes are focused on the ball throughout the strike" dataDxfId="66"/>
    <tableColumn id="3" xr3:uid="{4A2D4781-F3ED-4D33-AE43-420142111FA0}" name="2. Preferred hand grips bat above non-preferred hand" dataDxfId="65"/>
    <tableColumn id="4" xr3:uid="{52706F2B-4136-4E44-849F-581647EFDA4E}" name="3. Stands side-on to the target" dataDxfId="64"/>
    <tableColumn id="5" xr3:uid="{F636CDA2-61A3-4273-8439-B83CE7CA0E34}" name="4. Bat held behind shoulder prior to the strike" dataDxfId="63"/>
    <tableColumn id="6" xr3:uid="{AB0530A9-E0DC-4385-93B2-41EFAE0E8F44}" name="5. Step towards target with foot opposite preferred hand during the strike" dataDxfId="62"/>
    <tableColumn id="7" xr3:uid="{403E90B9-2121-462B-BB44-522B9421C336}" name="6. Marked sequential hip to shoulder rotation during the strike" dataDxfId="61"/>
    <tableColumn id="8" xr3:uid="{6FFFDD0A-4F20-4170-996D-45BB503636A7}" name="7. Ball contact made opposite front foot with straight arms" dataDxfId="60"/>
    <tableColumn id="9" xr3:uid="{484A3F88-C948-4429-AD2F-7A9EF3D078D8}" name="8. Follow through with bat around body" dataDxfId="59"/>
    <tableColumn id="10" xr3:uid="{6DF60978-3E61-4E1B-8EC9-8C2C0119E880}" name="Age" dataDxfId="58">
      <calculatedColumnFormula>'Class List'!$C4</calculatedColumnFormula>
    </tableColumn>
    <tableColumn id="11" xr3:uid="{94794B34-4CD2-4FAC-9D23-73ED86F50E82}" name="Score /8" dataDxfId="57">
      <calculatedColumnFormula>SUM(B4:I4)</calculatedColumnFormula>
    </tableColumn>
    <tableColumn id="12" xr3:uid="{CF6C47D0-F29C-409E-A450-B673A72CBF85}" name="Norm" dataDxfId="56">
      <calculatedColumnFormula>IFERROR(
   IF(K4 &lt;= INDEX($B$36:$B$46, MATCH(J4, $A$36:$A$46, 0)), "Beginning",
      IF(K4 &lt;= INDEX($C$36:$C$46, MATCH(J4, $A$36:$A$46, 0)), "Progressing",
         IF(K4 &lt;= INDEX($D$36:$D$46, MATCH(J4, $A$36:$A$46, 0)), "Achieving",
            IF(K4 &gt;= INDEX($E$36:$E$46, MATCH(J4, $A$36:$A$46, 0)), "Excelling", "Error")))),
   "Age Not Found")</calculatedColumnFormula>
    </tableColumn>
  </tableColumns>
  <tableStyleInfo name="TableStyleLight15"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9EB1035-3889-4262-A5E8-8ED0F34D9A19}" name="ForehandStrike" displayName="ForehandStrike" ref="A3:K34" totalsRowShown="0" tableBorderDxfId="49">
  <autoFilter ref="A3:K34" xr:uid="{49EB1035-3889-4262-A5E8-8ED0F34D9A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EEE19A0-E642-429E-AC9D-12D15CD5DD8F}" name="Student name" dataDxfId="48">
      <calculatedColumnFormula>'Class List'!A4</calculatedColumnFormula>
    </tableColumn>
    <tableColumn id="2" xr3:uid="{FD3A41A8-74E3-4D85-BA90-5ACB6DD35D63}" name="1. Eyes are focused on the ball throughout the strike" dataDxfId="47"/>
    <tableColumn id="3" xr3:uid="{99AB1F41-B992-47CC-AA63-D0721348C173}" name="2. Stand side-on to the target with bat held in one hand" dataDxfId="46"/>
    <tableColumn id="4" xr3:uid="{A9CDDB5E-26DD-4BEB-8F53-1C38F8CD28B0}" name="3. Striking hand nearly straightened behind shoulder at end of backswing" dataDxfId="45"/>
    <tableColumn id="5" xr3:uid="{F67A4193-38F5-413F-A0D2-6889A3A51A1C}" name="4. Step towards target with foot opposite striking arm during the strike" dataDxfId="44"/>
    <tableColumn id="6" xr3:uid="{F6EF4F5D-4881-4C35-8506-625EFD1252B0}" name="5. Marked sequential hip to shoulder rotation during the strike" dataDxfId="43"/>
    <tableColumn id="7" xr3:uid="{A578CB81-00E0-480F-AB87-7F430493BDD9}" name="6. Ball contact made opposite front foot with straight arm" dataDxfId="42"/>
    <tableColumn id="8" xr3:uid="{A5A9833C-62BC-412A-9869-C17920EC0FDF}" name="7. Follow through towards the target then around body" dataDxfId="41"/>
    <tableColumn id="9" xr3:uid="{F7CFFC30-34EF-4BF4-8EF5-14AED62BDB63}" name="Age" dataDxfId="40">
      <calculatedColumnFormula>'Class List'!$C4</calculatedColumnFormula>
    </tableColumn>
    <tableColumn id="10" xr3:uid="{CEDA9896-47D8-4448-B8C6-AF789EE57EE2}" name="Score /7">
      <calculatedColumnFormula>SUM(B4:H4)</calculatedColumnFormula>
    </tableColumn>
    <tableColumn id="11" xr3:uid="{954A9DBF-BE15-4DD5-8481-347FDF3128F6}" name="Norm" dataDxfId="39">
      <calculatedColumnFormula>IFERROR(
   IF(J4 &lt;= INDEX($B$36:$B$46, MATCH(I4, $A$36:$A$46, 0)), "Beginning",
      IF(J4 &lt;= INDEX($C$36:$C$46, MATCH(I4, $A$36:$A$46, 0)), "Progressing",
         IF(J4 &lt;= INDEX($D$36:$D$46, MATCH(I4, $A$36:$A$46, 0)), "Achieving",
            IF(J4 &gt;= INDEX($E$36:$E$46, MATCH(I4, $A$36:$A$46, 0)), "Excelling", "Error")))),
   "Age Not Found")</calculatedColumnFormula>
    </tableColumn>
  </tableColumns>
  <tableStyleInfo name="TableStyleLight15"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C5E2A3-E058-4D3C-A411-4B8E928484E2}" name="Gymnastics" displayName="Gymnastics" ref="A3:H34" totalsRowShown="0" tableBorderDxfId="32">
  <autoFilter ref="A3:H34" xr:uid="{C2C5E2A3-E058-4D3C-A411-4B8E928484E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2E93388-2B0B-469F-AA61-5586BC551E3B}" name="Student name" dataDxfId="31" dataCellStyle="Normal 3"/>
    <tableColumn id="2" xr3:uid="{EA38BF23-0A29-4A72-A2AD-47D82B4F0D6B}" name="1. Sequencing" dataDxfId="30" dataCellStyle="Normal 3"/>
    <tableColumn id="3" xr3:uid="{C6F4FCBE-00EB-457D-8FE5-002AB8117FFD}" name="2. Creativity" dataDxfId="29" dataCellStyle="Normal 3"/>
    <tableColumn id="4" xr3:uid="{64715B33-269B-4975-85FB-20736FB42794}" name="3. Execution" dataDxfId="28" dataCellStyle="Normal 3"/>
    <tableColumn id="5" xr3:uid="{79D2D977-6875-4772-8973-8DA410D9D6A3}" name="4. Variety of Elements" dataDxfId="27" dataCellStyle="Normal 3"/>
    <tableColumn id="6" xr3:uid="{92B06C29-7CED-4759-8E75-8A26FDD74AE9}" name="Score using Rubric on Rubric sheet" dataDxfId="26" dataCellStyle="Normal 3">
      <calculatedColumnFormula>'Class List'!$C4</calculatedColumnFormula>
    </tableColumn>
    <tableColumn id="7" xr3:uid="{9398515C-42F0-4EFC-8D4A-72A42C751A8D}" name="Score /20" dataDxfId="25" dataCellStyle="Normal 3">
      <calculatedColumnFormula>SUM(B4:E4)</calculatedColumnFormula>
    </tableColumn>
    <tableColumn id="8" xr3:uid="{84690768-D6D9-4F82-865E-6DD2C65038D5}" name="Norm" dataDxfId="24">
      <calculatedColumnFormula>IFERROR(
   IF(G4 &lt;= INDEX($B$44:$B$50, MATCH(F4, $A$44:$A$50, 0)), "Beginning",
      IF(AND(G4 &gt;= INDEX($C$44:$C$50, MATCH(F4, $A$44:$A$50, 0)),
             G4 &lt;= INDEX($D$44:$D$50, MATCH(F4, $A$44:$A$50, 0))), "Progressing",
         IF(AND(G4 &gt;= INDEX($E$44:$E$50, MATCH(F4, $A$44:$A$50, 0)),
                G4 &lt;= INDEX($F$44:$F$50, MATCH(F4, $A$44:$A$50, 0))), "Achieving",
            IF(G4 &gt;= INDEX($G$44:$G$50, MATCH(F4, $A$44:$A$50, 0)), "Excelling",
               "Error")))),
   "Age Not Found")</calculatedColumnFormula>
    </tableColumn>
  </tableColumns>
  <tableStyleInfo name="TableStyleLight15"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1226C4A-D7C9-4B06-ADF3-D1119A6BFEEF}" name="RocktoStand" displayName="RocktoStand" ref="A4:L34" totalsRowShown="0" tableBorderDxfId="17">
  <autoFilter ref="A4:L34" xr:uid="{81226C4A-D7C9-4B06-ADF3-D1119A6BFEE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115C283-C4ED-4724-ACB8-CE5CC2A7268F}" name="Student Name" dataDxfId="16" dataCellStyle="Normal 3">
      <calculatedColumnFormula>'Class List'!A5</calculatedColumnFormula>
    </tableColumn>
    <tableColumn id="2" xr3:uid="{D32D8933-6304-4781-B42D-D5D6E63F9456}" name="Maintains and holds seated tuck" dataDxfId="15"/>
    <tableColumn id="3" xr3:uid="{FB64356E-3B2A-4A2A-8234-3E72D78A1E2D}" name="Rocks backward onto nape of neck" dataDxfId="14"/>
    <tableColumn id="4" xr3:uid="{B833FBD7-86DE-4B04-B19E-8DCF21CFCF83}" name="Rocks back a second time" dataDxfId="13"/>
    <tableColumn id="5" xr3:uid="{B59C9606-22D9-4D60-A2C7-394C9D345411}" name="Stands back up when returning to seated position" dataDxfId="12"/>
    <tableColumn id="6" xr3:uid="{D4B9F7F2-F9B9-4AE2-872E-F00DEDEE2CAF}" name="Maintains and holds seated tuck2" dataDxfId="11"/>
    <tableColumn id="7" xr3:uid="{5DEF7694-FE0F-4540-8485-70824CC31291}" name="Rocks backward onto nape of neck3" dataDxfId="10"/>
    <tableColumn id="8" xr3:uid="{0B46E842-B1A0-4A89-909F-EFD6C4733BFE}" name="Rocks back a second time4" dataDxfId="9"/>
    <tableColumn id="9" xr3:uid="{547D50C7-E29A-44BF-AF28-458764F33E11}" name="Stands back up when returning to seated position5" dataDxfId="8"/>
    <tableColumn id="10" xr3:uid="{920A50C5-CFEF-4CF8-A5E7-471F0B09859F}" name="Age" dataDxfId="7" dataCellStyle="Normal 3">
      <calculatedColumnFormula>'Class List'!$C5</calculatedColumnFormula>
    </tableColumn>
    <tableColumn id="11" xr3:uid="{294FBAF7-3175-4AF8-A725-E9A2A2E57EEA}" name="Score/8" dataDxfId="6">
      <calculatedColumnFormula>SUM(B5:I5)</calculatedColumnFormula>
    </tableColumn>
    <tableColumn id="12" xr3:uid="{0F56FB25-BC8D-4C9C-A7AE-6627AF437183}" name="Norm" dataDxfId="5">
      <calculatedColumnFormula>IFERROR(
   IF(AND(K5 &gt;= INDEX($B$39:$B$46, MATCH(J5, $A$39:$A$46, 0)), K5 &lt;= INDEX($C$39:$C$46, MATCH(J5, $A$39:$A$46, 0))), "Beginning",
      IF(AND(K5 &gt;= INDEX($D$39:$D$46, MATCH(J5, $A$39:$A$46, 0)), K5 &lt;= INDEX($E$39:$E$46, MATCH(J5, $A$39:$A$46, 0))), "Progressing",
         IF(AND(K5 &gt;= INDEX($F$39:$F$46, MATCH(J5, $A$39:$A$46, 0)), K5 &lt;= INDEX($G$39:$G$46, MATCH(J5, $A$39:$A$46, 0))), "Achieving",
            IF(K5 &gt;= INDEX($H$39:$H$46, MATCH(J5, $A$39:$A$46, 0)), "Excelling",
               "Beginning")))),
   "Age Not Found")</calculatedColumnFormula>
    </tableColumn>
  </tableColumns>
  <tableStyleInfo name="TableStyleLight15"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EEA1FD-0C39-42ED-B3D0-0135A2F3FDDD}" name="StudentFormGroup" displayName="StudentFormGroup" ref="A1:E27" tableType="queryTable" totalsRowShown="0">
  <autoFilter ref="A1:E27" xr:uid="{85EEA1FD-0C39-42ED-B3D0-0135A2F3FDDD}"/>
  <tableColumns count="5">
    <tableColumn id="1" xr3:uid="{B85BDF17-EBCA-4207-A45F-B2D0DFA683C0}" uniqueName="1" name="Student Name" queryTableFieldId="1" dataDxfId="4"/>
    <tableColumn id="2" xr3:uid="{BEDF7EA1-79E6-497F-A9B5-C13CC60B503B}" uniqueName="2" name="Column5" queryTableFieldId="2" dataDxfId="3"/>
    <tableColumn id="3" xr3:uid="{0F584928-7026-4825-BFCB-6695FC7B8FF6}" uniqueName="3" name="Column7" queryTableFieldId="3" dataDxfId="2"/>
    <tableColumn id="4" xr3:uid="{AFDF40B2-CAE2-45E9-9C18-9B03E2C3515B}" uniqueName="4" name="Column9" queryTableFieldId="4" dataDxfId="1"/>
    <tableColumn id="5" xr3:uid="{694AD926-ADFB-4033-B4B8-BC8055275EDF}" uniqueName="5" name="Column10" queryTableFieldId="5" dataDxfId="0"/>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VCAA graph gradient">
      <a:dk1>
        <a:srgbClr val="000000"/>
      </a:dk1>
      <a:lt1>
        <a:srgbClr val="FFFFFF"/>
      </a:lt1>
      <a:dk2>
        <a:srgbClr val="000000"/>
      </a:dk2>
      <a:lt2>
        <a:srgbClr val="FFFFFF"/>
      </a:lt2>
      <a:accent1>
        <a:srgbClr val="073F5A"/>
      </a:accent1>
      <a:accent2>
        <a:srgbClr val="0B5E87"/>
      </a:accent2>
      <a:accent3>
        <a:srgbClr val="0F7EB4"/>
      </a:accent3>
      <a:accent4>
        <a:srgbClr val="50BCF0"/>
      </a:accent4>
      <a:accent5>
        <a:srgbClr val="8AD2F5"/>
      </a:accent5>
      <a:accent6>
        <a:srgbClr val="C4E8FA"/>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buymeacoffee.com/robkennedy" TargetMode="External"/><Relationship Id="rId1" Type="http://schemas.openxmlformats.org/officeDocument/2006/relationships/hyperlink" Target="https://forms.gle/E27JKz9asjfuq78NA"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about:blank"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hyperlink" Target="https://www.vcaa.vic.edu.au/curriculum/foundation-10/resources/health-and-physical-education/map/Pages/CombinedSkills.aspx" TargetMode="Externa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A6229-7972-42E8-8120-5AA018BDE587}">
  <sheetPr codeName="Sheet1"/>
  <dimension ref="A1:AC36"/>
  <sheetViews>
    <sheetView zoomScale="40" zoomScaleNormal="40" workbookViewId="0">
      <selection activeCell="B22" sqref="B22"/>
    </sheetView>
  </sheetViews>
  <sheetFormatPr defaultRowHeight="13.2" x14ac:dyDescent="0.25"/>
  <cols>
    <col min="1" max="1" width="37" customWidth="1"/>
    <col min="2" max="2" width="8.21875" customWidth="1"/>
    <col min="4" max="14" width="12.5546875" customWidth="1"/>
    <col min="15" max="17" width="16.44140625" customWidth="1"/>
    <col min="18" max="18" width="16.5546875" customWidth="1"/>
    <col min="19" max="19" width="15.21875" customWidth="1"/>
    <col min="20" max="20" width="17.21875" customWidth="1"/>
    <col min="21" max="21" width="14.5546875" customWidth="1"/>
    <col min="22" max="23" width="15.109375" customWidth="1"/>
  </cols>
  <sheetData>
    <row r="1" spans="1:29" ht="37.5" customHeight="1" x14ac:dyDescent="0.25">
      <c r="A1" s="291" t="s">
        <v>265</v>
      </c>
      <c r="B1" s="292"/>
      <c r="C1" s="292"/>
      <c r="D1" s="292"/>
      <c r="E1" s="295" t="s">
        <v>261</v>
      </c>
      <c r="F1" s="296"/>
      <c r="G1" s="297"/>
      <c r="H1" s="301" t="s">
        <v>0</v>
      </c>
      <c r="I1" s="302"/>
      <c r="J1" s="302"/>
      <c r="K1" s="277" t="s">
        <v>260</v>
      </c>
      <c r="L1" s="278"/>
      <c r="M1" s="278"/>
      <c r="N1" s="278"/>
      <c r="O1" s="281" t="s">
        <v>263</v>
      </c>
      <c r="P1" s="278"/>
      <c r="Q1" s="278"/>
      <c r="R1" s="277" t="s">
        <v>262</v>
      </c>
      <c r="S1" s="278"/>
      <c r="T1" s="278"/>
      <c r="U1" s="281" t="s">
        <v>264</v>
      </c>
      <c r="V1" s="278"/>
      <c r="W1" s="278"/>
      <c r="X1" s="301" t="s">
        <v>2</v>
      </c>
      <c r="Y1" s="302"/>
      <c r="Z1" s="302"/>
      <c r="AA1" s="253" t="s">
        <v>258</v>
      </c>
      <c r="AB1" s="254"/>
      <c r="AC1" s="255"/>
    </row>
    <row r="2" spans="1:29" ht="64.95" customHeight="1" thickBot="1" x14ac:dyDescent="0.3">
      <c r="A2" s="293"/>
      <c r="B2" s="294"/>
      <c r="C2" s="294"/>
      <c r="D2" s="294"/>
      <c r="E2" s="298"/>
      <c r="F2" s="299"/>
      <c r="G2" s="300"/>
      <c r="H2" s="303"/>
      <c r="I2" s="304"/>
      <c r="J2" s="304"/>
      <c r="K2" s="279"/>
      <c r="L2" s="280"/>
      <c r="M2" s="280"/>
      <c r="N2" s="280"/>
      <c r="O2" s="279"/>
      <c r="P2" s="280"/>
      <c r="Q2" s="280"/>
      <c r="R2" s="279"/>
      <c r="S2" s="280"/>
      <c r="T2" s="280"/>
      <c r="U2" s="279"/>
      <c r="V2" s="280"/>
      <c r="W2" s="280"/>
      <c r="X2" s="303"/>
      <c r="Y2" s="304"/>
      <c r="Z2" s="304"/>
      <c r="AA2" s="256"/>
      <c r="AB2" s="257"/>
      <c r="AC2" s="258"/>
    </row>
    <row r="3" spans="1:29" ht="47.55" customHeight="1" thickBot="1" x14ac:dyDescent="0.3">
      <c r="B3" s="288" t="s">
        <v>3</v>
      </c>
      <c r="C3" s="289"/>
      <c r="D3" s="289"/>
      <c r="E3" s="289"/>
      <c r="F3" s="289"/>
      <c r="G3" s="289"/>
      <c r="H3" s="289"/>
      <c r="I3" s="289"/>
      <c r="J3" s="289"/>
      <c r="K3" s="289"/>
      <c r="L3" s="289"/>
      <c r="M3" s="289"/>
      <c r="N3" s="289"/>
      <c r="O3" s="289"/>
      <c r="P3" s="289"/>
      <c r="Q3" s="289"/>
      <c r="R3" s="289"/>
      <c r="S3" s="289"/>
      <c r="T3" s="289"/>
      <c r="U3" s="290"/>
      <c r="V3" s="282" t="s">
        <v>259</v>
      </c>
      <c r="W3" s="283"/>
      <c r="X3" s="269" t="s">
        <v>1</v>
      </c>
      <c r="Y3" s="269"/>
      <c r="Z3" s="270"/>
      <c r="AA3" s="256"/>
      <c r="AB3" s="257"/>
      <c r="AC3" s="258"/>
    </row>
    <row r="4" spans="1:29" ht="55.05" customHeight="1" thickBot="1" x14ac:dyDescent="0.3">
      <c r="A4" s="186" t="s">
        <v>4</v>
      </c>
      <c r="B4" s="184" t="s">
        <v>182</v>
      </c>
      <c r="C4" s="185" t="s">
        <v>5</v>
      </c>
      <c r="D4" s="173" t="s">
        <v>6</v>
      </c>
      <c r="E4" s="174" t="s">
        <v>7</v>
      </c>
      <c r="F4" s="174" t="s">
        <v>8</v>
      </c>
      <c r="G4" s="174" t="s">
        <v>9</v>
      </c>
      <c r="H4" s="175" t="s">
        <v>10</v>
      </c>
      <c r="I4" s="176" t="s">
        <v>11</v>
      </c>
      <c r="J4" s="176" t="s">
        <v>12</v>
      </c>
      <c r="K4" s="176" t="s">
        <v>13</v>
      </c>
      <c r="L4" s="176" t="s">
        <v>14</v>
      </c>
      <c r="M4" s="176" t="s">
        <v>15</v>
      </c>
      <c r="N4" s="176" t="s">
        <v>16</v>
      </c>
      <c r="O4" s="177" t="s">
        <v>17</v>
      </c>
      <c r="P4" s="174" t="s">
        <v>18</v>
      </c>
      <c r="Q4" s="176" t="s">
        <v>19</v>
      </c>
      <c r="R4" s="178" t="s">
        <v>163</v>
      </c>
      <c r="S4" s="179" t="s">
        <v>164</v>
      </c>
      <c r="T4" s="180" t="s">
        <v>185</v>
      </c>
      <c r="U4" s="181" t="s">
        <v>162</v>
      </c>
      <c r="V4" s="284"/>
      <c r="W4" s="285"/>
      <c r="X4" s="272"/>
      <c r="Y4" s="272"/>
      <c r="Z4" s="273"/>
      <c r="AA4" s="256"/>
      <c r="AB4" s="257"/>
      <c r="AC4" s="258"/>
    </row>
    <row r="5" spans="1:29" ht="13.8" customHeight="1" x14ac:dyDescent="0.25">
      <c r="A5" s="251" t="s">
        <v>268</v>
      </c>
      <c r="B5" s="182" t="s">
        <v>183</v>
      </c>
      <c r="C5" s="182">
        <v>9</v>
      </c>
      <c r="D5" s="169" t="str">
        <f>'Run'!I5</f>
        <v>Achieving</v>
      </c>
      <c r="E5" s="169" t="str">
        <f>'Vertical Jump'!I5</f>
        <v>Progressing</v>
      </c>
      <c r="F5" s="169" t="str">
        <f>Leap!I5</f>
        <v>Achieving</v>
      </c>
      <c r="G5" s="169" t="str">
        <f>Dodge!I5</f>
        <v>Achieving</v>
      </c>
      <c r="H5" s="169" t="str">
        <f>Catch!J5</f>
        <v>Beginning</v>
      </c>
      <c r="I5" s="169" t="str">
        <f>'Overhand throw'!J5</f>
        <v>Achieving</v>
      </c>
      <c r="J5" s="169" t="str">
        <f>Kick!K5</f>
        <v>Beginning</v>
      </c>
      <c r="K5" s="169" t="str">
        <f>Punt!L5</f>
        <v>Beginning</v>
      </c>
      <c r="L5" s="169" t="str">
        <f>Bounce!I5</f>
        <v>Beginning</v>
      </c>
      <c r="M5" s="169" t="str">
        <f>'Two-handed strike'!L5</f>
        <v>Beginning</v>
      </c>
      <c r="N5" s="169" t="str">
        <f>'Forehand strike'!K5</f>
        <v>Beginning</v>
      </c>
      <c r="O5" s="169" t="str" cm="1">
        <f t="array" ref="O5">INDEX(D5:N5, _xlfn.MODE.SNGL(MATCH(D5:N5, D5:N5, 0)))</f>
        <v>Beginning</v>
      </c>
      <c r="P5" s="169" t="str" cm="1">
        <f t="array" ref="P5">INDEX(D5:G5, _xlfn.MODE.SNGL(MATCH(D5:G5, D5:G5, 0)))</f>
        <v>Achieving</v>
      </c>
      <c r="Q5" s="169" t="str" cm="1">
        <f t="array" ref="Q5">INDEX(H5:N5, _xlfn.MODE.SNGL(MATCH(H5:N5, H5:N5, 0)))</f>
        <v>Beginning</v>
      </c>
      <c r="R5" s="169" t="str">
        <f>Gymnastics!H5</f>
        <v>Achieving</v>
      </c>
      <c r="S5" s="169" t="str">
        <f>IFERROR(
    INDEX('ASTS 2+3'!$F$5:$I$100,
        MATCH(A5, 'ASTS 2+3'!$A$5:$A$100, 0),
        MATCH("Normative value if " &amp; C5 &amp; " years old", 'ASTS 2+3'!$F$4:$I$4, 0)),
    IFERROR(
        INDEX('ASTS 2+3'!$O$5:$R$100,
            MATCH(A5, 'ASTS 2+3'!$J$5:$J$100, 0),
            MATCH("Normative value if " &amp; C5 &amp; " years old", 'ASTS 2+3'!$O$4:$R$4, 0)),
    "Not Found"))</f>
        <v>Progressing</v>
      </c>
      <c r="T5" s="169" t="str" cm="1">
        <f t="array" ref="T5">IF(COUNTA(R5:S5)=0, "", INDEX(R5:S5, MATCH(MAX(COUNTIF(R5:S5, R5:S5)), COUNTIF(R5:S5, R5:S5), 0)))</f>
        <v>Achieving</v>
      </c>
      <c r="U5" s="169" t="str">
        <f>'Rock to stand'!L5</f>
        <v>Progressing</v>
      </c>
      <c r="V5" s="284"/>
      <c r="W5" s="285"/>
      <c r="X5" s="272"/>
      <c r="Y5" s="272"/>
      <c r="Z5" s="273"/>
      <c r="AA5" s="256"/>
      <c r="AB5" s="257"/>
      <c r="AC5" s="258"/>
    </row>
    <row r="6" spans="1:29" ht="14.4" customHeight="1" x14ac:dyDescent="0.25">
      <c r="A6" s="251" t="s">
        <v>268</v>
      </c>
      <c r="B6" s="235" t="s">
        <v>184</v>
      </c>
      <c r="C6" s="235">
        <v>10</v>
      </c>
      <c r="D6" s="170" t="str">
        <f>'Run'!I6</f>
        <v>Beginning</v>
      </c>
      <c r="E6" s="170" t="str">
        <f>'Vertical Jump'!I6</f>
        <v>Beginning</v>
      </c>
      <c r="F6" s="170" t="str">
        <f>Leap!I6</f>
        <v>Beginning</v>
      </c>
      <c r="G6" s="170" t="str">
        <f>Dodge!I6</f>
        <v>Beginning</v>
      </c>
      <c r="H6" s="170" t="str">
        <f>Catch!J6</f>
        <v>Beginning</v>
      </c>
      <c r="I6" s="170" t="str">
        <f>'Overhand throw'!J6</f>
        <v>Beginning</v>
      </c>
      <c r="J6" s="170" t="str">
        <f>Kick!K6</f>
        <v>Beginning</v>
      </c>
      <c r="K6" s="170" t="str">
        <f>Punt!L6</f>
        <v>Beginning</v>
      </c>
      <c r="L6" s="170" t="str">
        <f>Bounce!I6</f>
        <v>Achieving</v>
      </c>
      <c r="M6" s="170" t="str">
        <f>'Two-handed strike'!L6</f>
        <v>Beginning</v>
      </c>
      <c r="N6" s="170" t="str">
        <f>'Forehand strike'!K6</f>
        <v>Beginning</v>
      </c>
      <c r="O6" s="170" t="str" cm="1">
        <f t="array" ref="O6">INDEX(D6:N6, _xlfn.MODE.SNGL(MATCH(D6:N6, D6:N6, 0)))</f>
        <v>Beginning</v>
      </c>
      <c r="P6" s="170" t="str" cm="1">
        <f t="array" ref="P6">INDEX(D6:G6, _xlfn.MODE.SNGL(MATCH(D6:G6, D6:G6, 0)))</f>
        <v>Beginning</v>
      </c>
      <c r="Q6" s="170" t="str" cm="1">
        <f t="array" ref="Q6">INDEX(H6:N6, _xlfn.MODE.SNGL(MATCH(H6:N6, H6:N6, 0)))</f>
        <v>Beginning</v>
      </c>
      <c r="R6" s="169" t="str">
        <f>Gymnastics!H6</f>
        <v>Achieving</v>
      </c>
      <c r="S6" s="169" t="str">
        <f>IFERROR(
    INDEX('ASTS 2+3'!$F$5:$I$100,
        MATCH(A6, 'ASTS 2+3'!$A$5:$A$100, 0),
        MATCH("Normative value if " &amp; C6 &amp; " years old", 'ASTS 2+3'!$F$4:$I$4, 0)),
    IFERROR(
        INDEX('ASTS 2+3'!$O$5:$R$100,
            MATCH(A6, 'ASTS 2+3'!$J$5:$J$100, 0),
            MATCH("Normative value if " &amp; C6 &amp; " years old", 'ASTS 2+3'!$O$4:$R$4, 0)),
    "Not Found"))</f>
        <v>At Level</v>
      </c>
      <c r="T6" s="169" t="str" cm="1">
        <f t="array" ref="T6">IF(COUNTA(R6:S6)=0, "", INDEX(R6:S6, MATCH(MAX(COUNTIF(R6:S6, R6:S6)), COUNTIF(R6:S6, R6:S6), 0)))</f>
        <v>Achieving</v>
      </c>
      <c r="U6" s="169" t="str">
        <f>'Rock to stand'!L6</f>
        <v>Excelling</v>
      </c>
      <c r="V6" s="284"/>
      <c r="W6" s="285"/>
      <c r="X6" s="272"/>
      <c r="Y6" s="272"/>
      <c r="Z6" s="273"/>
      <c r="AA6" s="256"/>
      <c r="AB6" s="257"/>
      <c r="AC6" s="258"/>
    </row>
    <row r="7" spans="1:29" ht="13.8" customHeight="1" x14ac:dyDescent="0.25">
      <c r="A7" s="251" t="s">
        <v>268</v>
      </c>
      <c r="B7" s="182" t="s">
        <v>183</v>
      </c>
      <c r="C7" s="182">
        <v>9</v>
      </c>
      <c r="D7" s="170" t="str">
        <f>'Run'!I7</f>
        <v>Beginning</v>
      </c>
      <c r="E7" s="170" t="str">
        <f>'Vertical Jump'!I7</f>
        <v>Beginning</v>
      </c>
      <c r="F7" s="170" t="str">
        <f>Leap!I7</f>
        <v>Beginning</v>
      </c>
      <c r="G7" s="170" t="str">
        <f>Dodge!I7</f>
        <v>Beginning</v>
      </c>
      <c r="H7" s="170" t="str">
        <f>Catch!J7</f>
        <v>Beginning</v>
      </c>
      <c r="I7" s="170" t="str">
        <f>'Overhand throw'!J7</f>
        <v>Beginning</v>
      </c>
      <c r="J7" s="170" t="str">
        <f>Kick!K7</f>
        <v>Beginning</v>
      </c>
      <c r="K7" s="170" t="str">
        <f>Punt!L7</f>
        <v>Beginning</v>
      </c>
      <c r="L7" s="170" t="str">
        <f>Bounce!I7</f>
        <v>Achieving</v>
      </c>
      <c r="M7" s="170" t="str">
        <f>'Two-handed strike'!L7</f>
        <v>Beginning</v>
      </c>
      <c r="N7" s="170" t="str">
        <f>'Forehand strike'!K7</f>
        <v>Beginning</v>
      </c>
      <c r="O7" s="170" t="str" cm="1">
        <f t="array" ref="O7">INDEX(D7:N7, _xlfn.MODE.SNGL(MATCH(D7:N7, D7:N7, 0)))</f>
        <v>Beginning</v>
      </c>
      <c r="P7" s="170" t="str" cm="1">
        <f t="array" ref="P7">INDEX(D7:G7, _xlfn.MODE.SNGL(MATCH(D7:G7, D7:G7, 0)))</f>
        <v>Beginning</v>
      </c>
      <c r="Q7" s="170" t="str" cm="1">
        <f t="array" ref="Q7">INDEX(H7:N7, _xlfn.MODE.SNGL(MATCH(H7:N7, H7:N7, 0)))</f>
        <v>Beginning</v>
      </c>
      <c r="R7" s="169" t="str">
        <f>Gymnastics!H7</f>
        <v>Achieving</v>
      </c>
      <c r="S7" s="169" t="str">
        <f>IFERROR(
    INDEX('ASTS 2+3'!$F$5:$I$100,
        MATCH(A7, 'ASTS 2+3'!$A$5:$A$100, 0),
        MATCH("Normative value if " &amp; C7 &amp; " years old", 'ASTS 2+3'!$F$4:$I$4, 0)),
    IFERROR(
        INDEX('ASTS 2+3'!$O$5:$R$100,
            MATCH(A7, 'ASTS 2+3'!$J$5:$J$100, 0),
            MATCH("Normative value if " &amp; C7 &amp; " years old", 'ASTS 2+3'!$O$4:$R$4, 0)),
    "Not Found"))</f>
        <v>Progressing</v>
      </c>
      <c r="T7" s="169" t="str" cm="1">
        <f t="array" ref="T7">IF(COUNTA(R7:S7)=0, "", INDEX(R7:S7, MATCH(MAX(COUNTIF(R7:S7, R7:S7)), COUNTIF(R7:S7, R7:S7), 0)))</f>
        <v>Achieving</v>
      </c>
      <c r="U7" s="169" t="str">
        <f>'Rock to stand'!L7</f>
        <v>Beginning</v>
      </c>
      <c r="V7" s="284"/>
      <c r="W7" s="285"/>
      <c r="X7" s="272"/>
      <c r="Y7" s="272"/>
      <c r="Z7" s="273"/>
      <c r="AA7" s="256"/>
      <c r="AB7" s="257"/>
      <c r="AC7" s="258"/>
    </row>
    <row r="8" spans="1:29" ht="14.4" customHeight="1" x14ac:dyDescent="0.25">
      <c r="A8" s="251" t="s">
        <v>268</v>
      </c>
      <c r="B8" s="235" t="s">
        <v>183</v>
      </c>
      <c r="C8" s="235">
        <v>10</v>
      </c>
      <c r="D8" s="170" t="str">
        <f>'Run'!I8</f>
        <v>Beginning</v>
      </c>
      <c r="E8" s="170" t="str">
        <f>'Vertical Jump'!I8</f>
        <v>Beginning</v>
      </c>
      <c r="F8" s="170" t="str">
        <f>Leap!I8</f>
        <v>Beginning</v>
      </c>
      <c r="G8" s="170" t="str">
        <f>Dodge!I8</f>
        <v>Beginning</v>
      </c>
      <c r="H8" s="170" t="str">
        <f>Catch!J8</f>
        <v>Beginning</v>
      </c>
      <c r="I8" s="170" t="str">
        <f>'Overhand throw'!J8</f>
        <v>Beginning</v>
      </c>
      <c r="J8" s="170" t="str">
        <f>Kick!K8</f>
        <v>Beginning</v>
      </c>
      <c r="K8" s="170" t="str">
        <f>Punt!L8</f>
        <v>Beginning</v>
      </c>
      <c r="L8" s="170" t="str">
        <f>Bounce!I8</f>
        <v>Achieving</v>
      </c>
      <c r="M8" s="170" t="str">
        <f>'Two-handed strike'!L8</f>
        <v>Beginning</v>
      </c>
      <c r="N8" s="170" t="str">
        <f>'Forehand strike'!K8</f>
        <v>Beginning</v>
      </c>
      <c r="O8" s="170" t="str" cm="1">
        <f t="array" ref="O8">INDEX(D8:N8, _xlfn.MODE.SNGL(MATCH(D8:N8, D8:N8, 0)))</f>
        <v>Beginning</v>
      </c>
      <c r="P8" s="170" t="str" cm="1">
        <f t="array" ref="P8">INDEX(D8:G8, _xlfn.MODE.SNGL(MATCH(D8:G8, D8:G8, 0)))</f>
        <v>Beginning</v>
      </c>
      <c r="Q8" s="170" t="str" cm="1">
        <f t="array" ref="Q8">INDEX(H8:N8, _xlfn.MODE.SNGL(MATCH(H8:N8, H8:N8, 0)))</f>
        <v>Beginning</v>
      </c>
      <c r="R8" s="169" t="str">
        <f>Gymnastics!H8</f>
        <v>Achieving</v>
      </c>
      <c r="S8" s="169" t="str">
        <f>IFERROR(
    INDEX('ASTS 2+3'!$F$5:$I$100,
        MATCH(A8, 'ASTS 2+3'!$A$5:$A$100, 0),
        MATCH("Normative value if " &amp; C8 &amp; " years old", 'ASTS 2+3'!$F$4:$I$4, 0)),
    IFERROR(
        INDEX('ASTS 2+3'!$O$5:$R$100,
            MATCH(A8, 'ASTS 2+3'!$J$5:$J$100, 0),
            MATCH("Normative value if " &amp; C8 &amp; " years old", 'ASTS 2+3'!$O$4:$R$4, 0)),
    "Not Found"))</f>
        <v>At Level</v>
      </c>
      <c r="T8" s="169" t="str" cm="1">
        <f t="array" ref="T8">IF(COUNTA(R8:S8)=0, "", INDEX(R8:S8, MATCH(MAX(COUNTIF(R8:S8, R8:S8)), COUNTIF(R8:S8, R8:S8), 0)))</f>
        <v>Achieving</v>
      </c>
      <c r="U8" s="169" t="str">
        <f>'Rock to stand'!L8</f>
        <v>Excelling</v>
      </c>
      <c r="V8" s="284"/>
      <c r="W8" s="285"/>
      <c r="X8" s="272"/>
      <c r="Y8" s="272"/>
      <c r="Z8" s="273"/>
      <c r="AA8" s="256"/>
      <c r="AB8" s="257"/>
      <c r="AC8" s="258"/>
    </row>
    <row r="9" spans="1:29" ht="14.4" customHeight="1" thickBot="1" x14ac:dyDescent="0.3">
      <c r="A9" s="251" t="s">
        <v>268</v>
      </c>
      <c r="B9" s="182" t="s">
        <v>183</v>
      </c>
      <c r="C9" s="182">
        <v>10</v>
      </c>
      <c r="D9" s="170" t="str">
        <f>'Run'!I9</f>
        <v>Beginning</v>
      </c>
      <c r="E9" s="170" t="str">
        <f>'Vertical Jump'!I9</f>
        <v>Beginning</v>
      </c>
      <c r="F9" s="170" t="str">
        <f>Leap!I9</f>
        <v>Beginning</v>
      </c>
      <c r="G9" s="170" t="str">
        <f>Dodge!I9</f>
        <v>Beginning</v>
      </c>
      <c r="H9" s="170" t="str">
        <f>Catch!J9</f>
        <v>Beginning</v>
      </c>
      <c r="I9" s="170" t="str">
        <f>'Overhand throw'!J9</f>
        <v>Beginning</v>
      </c>
      <c r="J9" s="170" t="str">
        <f>Kick!K9</f>
        <v>Beginning</v>
      </c>
      <c r="K9" s="170" t="str">
        <f>Punt!L9</f>
        <v>Beginning</v>
      </c>
      <c r="L9" s="170" t="str">
        <f>Bounce!I9</f>
        <v>Progressing</v>
      </c>
      <c r="M9" s="170" t="str">
        <f>'Two-handed strike'!L9</f>
        <v>Beginning</v>
      </c>
      <c r="N9" s="170" t="str">
        <f>'Forehand strike'!K9</f>
        <v>Beginning</v>
      </c>
      <c r="O9" s="170" t="str" cm="1">
        <f t="array" ref="O9">INDEX(D9:N9, _xlfn.MODE.SNGL(MATCH(D9:N9, D9:N9, 0)))</f>
        <v>Beginning</v>
      </c>
      <c r="P9" s="170" t="str" cm="1">
        <f t="array" ref="P9">INDEX(D9:G9, _xlfn.MODE.SNGL(MATCH(D9:G9, D9:G9, 0)))</f>
        <v>Beginning</v>
      </c>
      <c r="Q9" s="170" t="str" cm="1">
        <f t="array" ref="Q9">INDEX(H9:N9, _xlfn.MODE.SNGL(MATCH(H9:N9, H9:N9, 0)))</f>
        <v>Beginning</v>
      </c>
      <c r="R9" s="169" t="str">
        <f>Gymnastics!H9</f>
        <v>Achieving</v>
      </c>
      <c r="S9" s="169" t="str">
        <f>IFERROR(
    INDEX('ASTS 2+3'!$F$5:$I$100,
        MATCH(A9, 'ASTS 2+3'!$A$5:$A$100, 0),
        MATCH("Normative value if " &amp; C9 &amp; " years old", 'ASTS 2+3'!$F$4:$I$4, 0)),
    IFERROR(
        INDEX('ASTS 2+3'!$O$5:$R$100,
            MATCH(A9, 'ASTS 2+3'!$J$5:$J$100, 0),
            MATCH("Normative value if " &amp; C9 &amp; " years old", 'ASTS 2+3'!$O$4:$R$4, 0)),
    "Not Found"))</f>
        <v>At Level</v>
      </c>
      <c r="T9" s="169" t="str" cm="1">
        <f t="array" ref="T9">IF(COUNTA(R9:S9)=0, "", INDEX(R9:S9, MATCH(MAX(COUNTIF(R9:S9, R9:S9)), COUNTIF(R9:S9, R9:S9), 0)))</f>
        <v>Achieving</v>
      </c>
      <c r="U9" s="169" t="str">
        <f>'Rock to stand'!L9</f>
        <v>Excelling</v>
      </c>
      <c r="V9" s="286"/>
      <c r="W9" s="287"/>
      <c r="X9" s="275"/>
      <c r="Y9" s="275"/>
      <c r="Z9" s="276"/>
      <c r="AA9" s="256"/>
      <c r="AB9" s="257"/>
      <c r="AC9" s="258"/>
    </row>
    <row r="10" spans="1:29" ht="14.4" thickBot="1" x14ac:dyDescent="0.3">
      <c r="A10" s="251" t="s">
        <v>268</v>
      </c>
      <c r="B10" s="235" t="s">
        <v>184</v>
      </c>
      <c r="C10" s="235">
        <v>10</v>
      </c>
      <c r="D10" s="170" t="str">
        <f>'Run'!I10</f>
        <v>Beginning</v>
      </c>
      <c r="E10" s="170" t="str">
        <f>'Vertical Jump'!I10</f>
        <v>Beginning</v>
      </c>
      <c r="F10" s="170" t="str">
        <f>Leap!I10</f>
        <v>Beginning</v>
      </c>
      <c r="G10" s="170" t="str">
        <f>Dodge!I10</f>
        <v>Beginning</v>
      </c>
      <c r="H10" s="170" t="str">
        <f>Catch!J10</f>
        <v>Beginning</v>
      </c>
      <c r="I10" s="170" t="str">
        <f>'Overhand throw'!J10</f>
        <v>Beginning</v>
      </c>
      <c r="J10" s="170" t="str">
        <f>Kick!K10</f>
        <v>Beginning</v>
      </c>
      <c r="K10" s="170" t="str">
        <f>Punt!L10</f>
        <v>Beginning</v>
      </c>
      <c r="L10" s="170" t="str">
        <f>Bounce!I10</f>
        <v>Progressing</v>
      </c>
      <c r="M10" s="170" t="str">
        <f>'Two-handed strike'!L10</f>
        <v>Beginning</v>
      </c>
      <c r="N10" s="170" t="str">
        <f>'Forehand strike'!K10</f>
        <v>Beginning</v>
      </c>
      <c r="O10" s="170" t="str" cm="1">
        <f t="array" ref="O10">INDEX(D10:N10, _xlfn.MODE.SNGL(MATCH(D10:N10, D10:N10, 0)))</f>
        <v>Beginning</v>
      </c>
      <c r="P10" s="170" t="str" cm="1">
        <f t="array" ref="P10">INDEX(D10:G10, _xlfn.MODE.SNGL(MATCH(D10:G10, D10:G10, 0)))</f>
        <v>Beginning</v>
      </c>
      <c r="Q10" s="170" t="str" cm="1">
        <f t="array" ref="Q10">INDEX(H10:N10, _xlfn.MODE.SNGL(MATCH(H10:N10, H10:N10, 0)))</f>
        <v>Beginning</v>
      </c>
      <c r="R10" s="169" t="str">
        <f>Gymnastics!H10</f>
        <v>Beginning</v>
      </c>
      <c r="S10" s="169" t="str">
        <f>IFERROR(
    INDEX('ASTS 2+3'!$F$5:$I$100,
        MATCH(A10, 'ASTS 2+3'!$A$5:$A$100, 0),
        MATCH("Normative value if " &amp; C10 &amp; " years old", 'ASTS 2+3'!$F$4:$I$4, 0)),
    IFERROR(
        INDEX('ASTS 2+3'!$O$5:$R$100,
            MATCH(A10, 'ASTS 2+3'!$J$5:$J$100, 0),
            MATCH("Normative value if " &amp; C10 &amp; " years old", 'ASTS 2+3'!$O$4:$R$4, 0)),
    "Not Found"))</f>
        <v>At Level</v>
      </c>
      <c r="T10" s="169" t="str" cm="1">
        <f t="array" ref="T10">IF(COUNTA(R10:S10)=0, "", INDEX(R10:S10, MATCH(MAX(COUNTIF(R10:S10, R10:S10)), COUNTIF(R10:S10, R10:S10), 0)))</f>
        <v>Beginning</v>
      </c>
      <c r="U10" s="169" t="str">
        <f>'Rock to stand'!L10</f>
        <v>Excelling</v>
      </c>
      <c r="AA10" s="256"/>
      <c r="AB10" s="257"/>
      <c r="AC10" s="258"/>
    </row>
    <row r="11" spans="1:29" ht="13.8" customHeight="1" x14ac:dyDescent="0.25">
      <c r="A11" s="251" t="s">
        <v>268</v>
      </c>
      <c r="B11" s="182" t="s">
        <v>184</v>
      </c>
      <c r="C11" s="182">
        <v>9</v>
      </c>
      <c r="D11" s="170" t="str">
        <f>'Run'!I11</f>
        <v>Beginning</v>
      </c>
      <c r="E11" s="170" t="str">
        <f>'Vertical Jump'!I11</f>
        <v>Beginning</v>
      </c>
      <c r="F11" s="170" t="str">
        <f>Leap!I11</f>
        <v>Beginning</v>
      </c>
      <c r="G11" s="170" t="str">
        <f>Dodge!I11</f>
        <v>Beginning</v>
      </c>
      <c r="H11" s="170" t="str">
        <f>Catch!J11</f>
        <v>Beginning</v>
      </c>
      <c r="I11" s="170" t="str">
        <f>'Overhand throw'!J11</f>
        <v>Beginning</v>
      </c>
      <c r="J11" s="170" t="str">
        <f>Kick!K11</f>
        <v>Beginning</v>
      </c>
      <c r="K11" s="170" t="str">
        <f>Punt!L11</f>
        <v>Beginning</v>
      </c>
      <c r="L11" s="170" t="str">
        <f>Bounce!I11</f>
        <v>Progressing</v>
      </c>
      <c r="M11" s="170" t="str">
        <f>'Two-handed strike'!L11</f>
        <v>Beginning</v>
      </c>
      <c r="N11" s="170" t="str">
        <f>'Forehand strike'!K11</f>
        <v>Beginning</v>
      </c>
      <c r="O11" s="170" t="str" cm="1">
        <f t="array" ref="O11">INDEX(D11:N11, _xlfn.MODE.SNGL(MATCH(D11:N11, D11:N11, 0)))</f>
        <v>Beginning</v>
      </c>
      <c r="P11" s="170" t="str" cm="1">
        <f t="array" ref="P11">INDEX(D11:G11, _xlfn.MODE.SNGL(MATCH(D11:G11, D11:G11, 0)))</f>
        <v>Beginning</v>
      </c>
      <c r="Q11" s="170" t="str" cm="1">
        <f t="array" ref="Q11">INDEX(H11:N11, _xlfn.MODE.SNGL(MATCH(H11:N11, H11:N11, 0)))</f>
        <v>Beginning</v>
      </c>
      <c r="R11" s="169" t="str">
        <f>Gymnastics!H11</f>
        <v>Achieving</v>
      </c>
      <c r="S11" s="169" t="str">
        <f>IFERROR(
    INDEX('ASTS 2+3'!$F$5:$I$100,
        MATCH(A11, 'ASTS 2+3'!$A$5:$A$100, 0),
        MATCH("Normative value if " &amp; C11 &amp; " years old", 'ASTS 2+3'!$F$4:$I$4, 0)),
    IFERROR(
        INDEX('ASTS 2+3'!$O$5:$R$100,
            MATCH(A11, 'ASTS 2+3'!$J$5:$J$100, 0),
            MATCH("Normative value if " &amp; C11 &amp; " years old", 'ASTS 2+3'!$O$4:$R$4, 0)),
    "Not Found"))</f>
        <v>Progressing</v>
      </c>
      <c r="T11" s="169" t="str" cm="1">
        <f t="array" ref="T11">IF(COUNTA(R11:S11)=0, "", INDEX(R11:S11, MATCH(MAX(COUNTIF(R11:S11, R11:S11)), COUNTIF(R11:S11, R11:S11), 0)))</f>
        <v>Achieving</v>
      </c>
      <c r="U11" s="169" t="str">
        <f>'Rock to stand'!L11</f>
        <v>Beginning</v>
      </c>
      <c r="V11" s="262" t="s">
        <v>267</v>
      </c>
      <c r="W11" s="263"/>
      <c r="X11" s="268" t="s">
        <v>266</v>
      </c>
      <c r="Y11" s="269"/>
      <c r="Z11" s="270"/>
      <c r="AA11" s="256"/>
      <c r="AB11" s="257"/>
      <c r="AC11" s="258"/>
    </row>
    <row r="12" spans="1:29" ht="14.4" customHeight="1" thickBot="1" x14ac:dyDescent="0.3">
      <c r="A12" s="251" t="s">
        <v>268</v>
      </c>
      <c r="B12" s="235" t="s">
        <v>184</v>
      </c>
      <c r="C12" s="235">
        <v>9</v>
      </c>
      <c r="D12" s="170" t="str">
        <f>'Run'!I12</f>
        <v>Beginning</v>
      </c>
      <c r="E12" s="170" t="str">
        <f>'Vertical Jump'!I12</f>
        <v>Beginning</v>
      </c>
      <c r="F12" s="170" t="str">
        <f>Leap!I12</f>
        <v>Beginning</v>
      </c>
      <c r="G12" s="170" t="str">
        <f>Dodge!I12</f>
        <v>Beginning</v>
      </c>
      <c r="H12" s="170" t="str">
        <f>Catch!J12</f>
        <v>Beginning</v>
      </c>
      <c r="I12" s="170" t="str">
        <f>'Overhand throw'!J12</f>
        <v>Beginning</v>
      </c>
      <c r="J12" s="170" t="str">
        <f>Kick!K12</f>
        <v>Beginning</v>
      </c>
      <c r="K12" s="170" t="str">
        <f>Punt!L12</f>
        <v>Beginning</v>
      </c>
      <c r="L12" s="170" t="str">
        <f>Bounce!I12</f>
        <v>Progressing</v>
      </c>
      <c r="M12" s="170" t="str">
        <f>'Two-handed strike'!L12</f>
        <v>Beginning</v>
      </c>
      <c r="N12" s="170" t="str">
        <f>'Forehand strike'!K12</f>
        <v>Beginning</v>
      </c>
      <c r="O12" s="170" t="str" cm="1">
        <f t="array" ref="O12">INDEX(D12:N12, _xlfn.MODE.SNGL(MATCH(D12:N12, D12:N12, 0)))</f>
        <v>Beginning</v>
      </c>
      <c r="P12" s="170" t="str" cm="1">
        <f t="array" ref="P12">INDEX(D12:G12, _xlfn.MODE.SNGL(MATCH(D12:G12, D12:G12, 0)))</f>
        <v>Beginning</v>
      </c>
      <c r="Q12" s="170" t="str" cm="1">
        <f t="array" ref="Q12">INDEX(H12:N12, _xlfn.MODE.SNGL(MATCH(H12:N12, H12:N12, 0)))</f>
        <v>Beginning</v>
      </c>
      <c r="R12" s="169" t="str">
        <f>Gymnastics!H12</f>
        <v>Beginning</v>
      </c>
      <c r="S12" s="169" t="str">
        <f>IFERROR(
    INDEX('ASTS 2+3'!$F$5:$I$100,
        MATCH(A12, 'ASTS 2+3'!$A$5:$A$100, 0),
        MATCH("Normative value if " &amp; C12 &amp; " years old", 'ASTS 2+3'!$F$4:$I$4, 0)),
    IFERROR(
        INDEX('ASTS 2+3'!$O$5:$R$100,
            MATCH(A12, 'ASTS 2+3'!$J$5:$J$100, 0),
            MATCH("Normative value if " &amp; C12 &amp; " years old", 'ASTS 2+3'!$O$4:$R$4, 0)),
    "Not Found"))</f>
        <v>Progressing</v>
      </c>
      <c r="T12" s="169" t="str" cm="1">
        <f t="array" ref="T12">IF(COUNTA(R12:S12)=0, "", INDEX(R12:S12, MATCH(MAX(COUNTIF(R12:S12, R12:S12)), COUNTIF(R12:S12, R12:S12), 0)))</f>
        <v>Beginning</v>
      </c>
      <c r="U12" s="169" t="str">
        <f>'Rock to stand'!L12</f>
        <v>Beginning</v>
      </c>
      <c r="V12" s="264"/>
      <c r="W12" s="265"/>
      <c r="X12" s="271"/>
      <c r="Y12" s="272"/>
      <c r="Z12" s="273"/>
      <c r="AA12" s="259"/>
      <c r="AB12" s="260"/>
      <c r="AC12" s="261"/>
    </row>
    <row r="13" spans="1:29" ht="12.45" customHeight="1" thickBot="1" x14ac:dyDescent="0.3">
      <c r="A13" s="251" t="s">
        <v>268</v>
      </c>
      <c r="B13" s="182" t="s">
        <v>183</v>
      </c>
      <c r="C13" s="182">
        <v>9</v>
      </c>
      <c r="D13" s="170" t="str">
        <f>'Run'!I13</f>
        <v>Beginning</v>
      </c>
      <c r="E13" s="170" t="str">
        <f>'Vertical Jump'!I13</f>
        <v>Beginning</v>
      </c>
      <c r="F13" s="170" t="str">
        <f>Leap!I13</f>
        <v>Beginning</v>
      </c>
      <c r="G13" s="170" t="str">
        <f>Dodge!I13</f>
        <v>Beginning</v>
      </c>
      <c r="H13" s="170" t="str">
        <f>Catch!J13</f>
        <v>Beginning</v>
      </c>
      <c r="I13" s="170" t="str">
        <f>'Overhand throw'!J13</f>
        <v>Beginning</v>
      </c>
      <c r="J13" s="170" t="str">
        <f>Kick!K13</f>
        <v>Beginning</v>
      </c>
      <c r="K13" s="170" t="str">
        <f>Punt!L13</f>
        <v>Beginning</v>
      </c>
      <c r="L13" s="170" t="str">
        <f>Bounce!I13</f>
        <v>Progressing</v>
      </c>
      <c r="M13" s="170" t="str">
        <f>'Two-handed strike'!L13</f>
        <v>Beginning</v>
      </c>
      <c r="N13" s="170" t="str">
        <f>'Forehand strike'!K13</f>
        <v>Beginning</v>
      </c>
      <c r="O13" s="170" t="str" cm="1">
        <f t="array" ref="O13">INDEX(D13:N13, _xlfn.MODE.SNGL(MATCH(D13:N13, D13:N13, 0)))</f>
        <v>Beginning</v>
      </c>
      <c r="P13" s="170" t="str" cm="1">
        <f t="array" ref="P13">INDEX(D13:G13, _xlfn.MODE.SNGL(MATCH(D13:G13, D13:G13, 0)))</f>
        <v>Beginning</v>
      </c>
      <c r="Q13" s="170" t="str" cm="1">
        <f t="array" ref="Q13">INDEX(H13:N13, _xlfn.MODE.SNGL(MATCH(H13:N13, H13:N13, 0)))</f>
        <v>Beginning</v>
      </c>
      <c r="R13" s="169" t="str">
        <f>Gymnastics!H13</f>
        <v>Progressing</v>
      </c>
      <c r="S13" s="169" t="str">
        <f>IFERROR(
    INDEX('ASTS 2+3'!$F$5:$I$100,
        MATCH(A13, 'ASTS 2+3'!$A$5:$A$100, 0),
        MATCH("Normative value if " &amp; C13 &amp; " years old", 'ASTS 2+3'!$F$4:$I$4, 0)),
    IFERROR(
        INDEX('ASTS 2+3'!$O$5:$R$100,
            MATCH(A13, 'ASTS 2+3'!$J$5:$J$100, 0),
            MATCH("Normative value if " &amp; C13 &amp; " years old", 'ASTS 2+3'!$O$4:$R$4, 0)),
    "Not Found"))</f>
        <v>Progressing</v>
      </c>
      <c r="T13" s="169" t="str" cm="1">
        <f t="array" ref="T13">IF(COUNTA(R13:S13)=0, "", INDEX(R13:S13, MATCH(MAX(COUNTIF(R13:S13, R13:S13)), COUNTIF(R13:S13, R13:S13), 0)))</f>
        <v>Progressing</v>
      </c>
      <c r="U13" s="169" t="str">
        <f>'Rock to stand'!L13</f>
        <v>Beginning</v>
      </c>
      <c r="V13" s="266"/>
      <c r="W13" s="267"/>
      <c r="X13" s="274"/>
      <c r="Y13" s="275"/>
      <c r="Z13" s="276"/>
    </row>
    <row r="14" spans="1:29" ht="13.8" x14ac:dyDescent="0.25">
      <c r="A14" s="251" t="s">
        <v>268</v>
      </c>
      <c r="B14" s="235" t="s">
        <v>184</v>
      </c>
      <c r="C14" s="235">
        <v>9</v>
      </c>
      <c r="D14" s="170" t="str">
        <f>'Run'!I14</f>
        <v>Beginning</v>
      </c>
      <c r="E14" s="170" t="str">
        <f>'Vertical Jump'!I14</f>
        <v>Beginning</v>
      </c>
      <c r="F14" s="170" t="str">
        <f>Leap!I14</f>
        <v>Beginning</v>
      </c>
      <c r="G14" s="170" t="str">
        <f>Dodge!I14</f>
        <v>Beginning</v>
      </c>
      <c r="H14" s="170" t="str">
        <f>Catch!J14</f>
        <v>Beginning</v>
      </c>
      <c r="I14" s="170" t="str">
        <f>'Overhand throw'!J14</f>
        <v>Beginning</v>
      </c>
      <c r="J14" s="170" t="str">
        <f>Kick!K14</f>
        <v>Beginning</v>
      </c>
      <c r="K14" s="170" t="str">
        <f>Punt!L14</f>
        <v>Beginning</v>
      </c>
      <c r="L14" s="170" t="str">
        <f>Bounce!I14</f>
        <v>Progressing</v>
      </c>
      <c r="M14" s="170" t="str">
        <f>'Two-handed strike'!L14</f>
        <v>Beginning</v>
      </c>
      <c r="N14" s="170" t="str">
        <f>'Forehand strike'!K14</f>
        <v>Beginning</v>
      </c>
      <c r="O14" s="170" t="str" cm="1">
        <f t="array" ref="O14">INDEX(D14:N14, _xlfn.MODE.SNGL(MATCH(D14:N14, D14:N14, 0)))</f>
        <v>Beginning</v>
      </c>
      <c r="P14" s="170" t="str" cm="1">
        <f t="array" ref="P14">INDEX(D14:G14, _xlfn.MODE.SNGL(MATCH(D14:G14, D14:G14, 0)))</f>
        <v>Beginning</v>
      </c>
      <c r="Q14" s="170" t="str" cm="1">
        <f t="array" ref="Q14">INDEX(H14:N14, _xlfn.MODE.SNGL(MATCH(H14:N14, H14:N14, 0)))</f>
        <v>Beginning</v>
      </c>
      <c r="R14" s="169" t="str">
        <f>Gymnastics!H14</f>
        <v>Beginning</v>
      </c>
      <c r="S14" s="169" t="str">
        <f>IFERROR(
    INDEX('ASTS 2+3'!$F$5:$I$100,
        MATCH(A14, 'ASTS 2+3'!$A$5:$A$100, 0),
        MATCH("Normative value if " &amp; C14 &amp; " years old", 'ASTS 2+3'!$F$4:$I$4, 0)),
    IFERROR(
        INDEX('ASTS 2+3'!$O$5:$R$100,
            MATCH(A14, 'ASTS 2+3'!$J$5:$J$100, 0),
            MATCH("Normative value if " &amp; C14 &amp; " years old", 'ASTS 2+3'!$O$4:$R$4, 0)),
    "Not Found"))</f>
        <v>Progressing</v>
      </c>
      <c r="T14" s="169" t="str" cm="1">
        <f t="array" ref="T14">IF(COUNTA(R14:S14)=0, "", INDEX(R14:S14, MATCH(MAX(COUNTIF(R14:S14, R14:S14)), COUNTIF(R14:S14, R14:S14), 0)))</f>
        <v>Beginning</v>
      </c>
      <c r="U14" s="169" t="str">
        <f>'Rock to stand'!L14</f>
        <v>Beginning</v>
      </c>
    </row>
    <row r="15" spans="1:29" ht="13.8" x14ac:dyDescent="0.25">
      <c r="A15" s="251" t="s">
        <v>268</v>
      </c>
      <c r="B15" s="182" t="s">
        <v>183</v>
      </c>
      <c r="C15" s="182">
        <v>10</v>
      </c>
      <c r="D15" s="170" t="str">
        <f>'Run'!I15</f>
        <v>Beginning</v>
      </c>
      <c r="E15" s="170" t="str">
        <f>'Vertical Jump'!I15</f>
        <v>Beginning</v>
      </c>
      <c r="F15" s="170" t="str">
        <f>Leap!I15</f>
        <v>Beginning</v>
      </c>
      <c r="G15" s="170" t="str">
        <f>Dodge!I15</f>
        <v>Beginning</v>
      </c>
      <c r="H15" s="170" t="str">
        <f>Catch!J15</f>
        <v>Beginning</v>
      </c>
      <c r="I15" s="170" t="str">
        <f>'Overhand throw'!J15</f>
        <v>Beginning</v>
      </c>
      <c r="J15" s="170" t="str">
        <f>Kick!K15</f>
        <v>Beginning</v>
      </c>
      <c r="K15" s="170" t="str">
        <f>Punt!L15</f>
        <v>Beginning</v>
      </c>
      <c r="L15" s="170" t="str">
        <f>Bounce!I15</f>
        <v>Progressing</v>
      </c>
      <c r="M15" s="170" t="str">
        <f>'Two-handed strike'!L15</f>
        <v>Beginning</v>
      </c>
      <c r="N15" s="170" t="str">
        <f>'Forehand strike'!K15</f>
        <v>Beginning</v>
      </c>
      <c r="O15" s="170" t="str" cm="1">
        <f t="array" ref="O15">INDEX(D15:N15, _xlfn.MODE.SNGL(MATCH(D15:N15, D15:N15, 0)))</f>
        <v>Beginning</v>
      </c>
      <c r="P15" s="170" t="str" cm="1">
        <f t="array" ref="P15">INDEX(D15:G15, _xlfn.MODE.SNGL(MATCH(D15:G15, D15:G15, 0)))</f>
        <v>Beginning</v>
      </c>
      <c r="Q15" s="170" t="str" cm="1">
        <f t="array" ref="Q15">INDEX(H15:N15, _xlfn.MODE.SNGL(MATCH(H15:N15, H15:N15, 0)))</f>
        <v>Beginning</v>
      </c>
      <c r="R15" s="169" t="str">
        <f>Gymnastics!H15</f>
        <v>Achieving</v>
      </c>
      <c r="S15" s="169" t="str">
        <f>IFERROR(
    INDEX('ASTS 2+3'!$F$5:$I$100,
        MATCH(A15, 'ASTS 2+3'!$A$5:$A$100, 0),
        MATCH("Normative value if " &amp; C15 &amp; " years old", 'ASTS 2+3'!$F$4:$I$4, 0)),
    IFERROR(
        INDEX('ASTS 2+3'!$O$5:$R$100,
            MATCH(A15, 'ASTS 2+3'!$J$5:$J$100, 0),
            MATCH("Normative value if " &amp; C15 &amp; " years old", 'ASTS 2+3'!$O$4:$R$4, 0)),
    "Not Found"))</f>
        <v>At Level</v>
      </c>
      <c r="T15" s="169" t="str" cm="1">
        <f t="array" ref="T15">IF(COUNTA(R15:S15)=0, "", INDEX(R15:S15, MATCH(MAX(COUNTIF(R15:S15, R15:S15)), COUNTIF(R15:S15, R15:S15), 0)))</f>
        <v>Achieving</v>
      </c>
      <c r="U15" s="169" t="str">
        <f>'Rock to stand'!L15</f>
        <v>Excelling</v>
      </c>
    </row>
    <row r="16" spans="1:29" ht="13.8" x14ac:dyDescent="0.25">
      <c r="A16" s="251" t="s">
        <v>268</v>
      </c>
      <c r="B16" s="235" t="s">
        <v>184</v>
      </c>
      <c r="C16" s="235">
        <v>9</v>
      </c>
      <c r="D16" s="170" t="str">
        <f>'Run'!I16</f>
        <v>Beginning</v>
      </c>
      <c r="E16" s="170" t="str">
        <f>'Vertical Jump'!I16</f>
        <v>Beginning</v>
      </c>
      <c r="F16" s="170" t="str">
        <f>Leap!I16</f>
        <v>Beginning</v>
      </c>
      <c r="G16" s="170" t="str">
        <f>Dodge!I16</f>
        <v>Beginning</v>
      </c>
      <c r="H16" s="170" t="str">
        <f>Catch!J16</f>
        <v>Beginning</v>
      </c>
      <c r="I16" s="170" t="str">
        <f>'Overhand throw'!J16</f>
        <v>Beginning</v>
      </c>
      <c r="J16" s="170" t="str">
        <f>Kick!K16</f>
        <v>Beginning</v>
      </c>
      <c r="K16" s="170" t="str">
        <f>Punt!L16</f>
        <v>Beginning</v>
      </c>
      <c r="L16" s="170" t="str">
        <f>Bounce!I16</f>
        <v>Progressing</v>
      </c>
      <c r="M16" s="170" t="str">
        <f>'Two-handed strike'!L16</f>
        <v>Beginning</v>
      </c>
      <c r="N16" s="170" t="str">
        <f>'Forehand strike'!K16</f>
        <v>Beginning</v>
      </c>
      <c r="O16" s="170" t="str" cm="1">
        <f t="array" ref="O16">INDEX(D16:N16, _xlfn.MODE.SNGL(MATCH(D16:N16, D16:N16, 0)))</f>
        <v>Beginning</v>
      </c>
      <c r="P16" s="170" t="str" cm="1">
        <f t="array" ref="P16">INDEX(D16:G16, _xlfn.MODE.SNGL(MATCH(D16:G16, D16:G16, 0)))</f>
        <v>Beginning</v>
      </c>
      <c r="Q16" s="170" t="str" cm="1">
        <f t="array" ref="Q16">INDEX(H16:N16, _xlfn.MODE.SNGL(MATCH(H16:N16, H16:N16, 0)))</f>
        <v>Beginning</v>
      </c>
      <c r="R16" s="169" t="str">
        <f>Gymnastics!H16</f>
        <v>Progressing</v>
      </c>
      <c r="S16" s="169" t="str">
        <f>IFERROR(
    INDEX('ASTS 2+3'!$F$5:$I$100,
        MATCH(A16, 'ASTS 2+3'!$A$5:$A$100, 0),
        MATCH("Normative value if " &amp; C16 &amp; " years old", 'ASTS 2+3'!$F$4:$I$4, 0)),
    IFERROR(
        INDEX('ASTS 2+3'!$O$5:$R$100,
            MATCH(A16, 'ASTS 2+3'!$J$5:$J$100, 0),
            MATCH("Normative value if " &amp; C16 &amp; " years old", 'ASTS 2+3'!$O$4:$R$4, 0)),
    "Not Found"))</f>
        <v>Progressing</v>
      </c>
      <c r="T16" s="169" t="str" cm="1">
        <f t="array" ref="T16">IF(COUNTA(R16:S16)=0, "", INDEX(R16:S16, MATCH(MAX(COUNTIF(R16:S16, R16:S16)), COUNTIF(R16:S16, R16:S16), 0)))</f>
        <v>Progressing</v>
      </c>
      <c r="U16" s="169" t="str">
        <f>'Rock to stand'!L16</f>
        <v>Beginning</v>
      </c>
    </row>
    <row r="17" spans="1:21" ht="13.8" x14ac:dyDescent="0.25">
      <c r="A17" s="251" t="s">
        <v>268</v>
      </c>
      <c r="B17" s="182" t="s">
        <v>184</v>
      </c>
      <c r="C17" s="182">
        <v>9</v>
      </c>
      <c r="D17" s="170" t="str">
        <f>'Run'!I17</f>
        <v>Beginning</v>
      </c>
      <c r="E17" s="170" t="str">
        <f>'Vertical Jump'!I17</f>
        <v>Beginning</v>
      </c>
      <c r="F17" s="170" t="str">
        <f>Leap!I17</f>
        <v>Beginning</v>
      </c>
      <c r="G17" s="170" t="str">
        <f>Dodge!I17</f>
        <v>Beginning</v>
      </c>
      <c r="H17" s="170" t="str">
        <f>Catch!J17</f>
        <v>Beginning</v>
      </c>
      <c r="I17" s="170" t="str">
        <f>'Overhand throw'!J17</f>
        <v>Beginning</v>
      </c>
      <c r="J17" s="170" t="str">
        <f>Kick!K17</f>
        <v>Beginning</v>
      </c>
      <c r="K17" s="170" t="str">
        <f>Punt!L17</f>
        <v>Beginning</v>
      </c>
      <c r="L17" s="170" t="str">
        <f>Bounce!I17</f>
        <v>Achieving</v>
      </c>
      <c r="M17" s="170" t="str">
        <f>'Two-handed strike'!L17</f>
        <v>Beginning</v>
      </c>
      <c r="N17" s="170" t="str">
        <f>'Forehand strike'!K17</f>
        <v>Beginning</v>
      </c>
      <c r="O17" s="170" t="str" cm="1">
        <f t="array" ref="O17">INDEX(D17:N17, _xlfn.MODE.SNGL(MATCH(D17:N17, D17:N17, 0)))</f>
        <v>Beginning</v>
      </c>
      <c r="P17" s="170" t="str" cm="1">
        <f t="array" ref="P17">INDEX(D17:G17, _xlfn.MODE.SNGL(MATCH(D17:G17, D17:G17, 0)))</f>
        <v>Beginning</v>
      </c>
      <c r="Q17" s="170" t="str" cm="1">
        <f t="array" ref="Q17">INDEX(H17:N17, _xlfn.MODE.SNGL(MATCH(H17:N17, H17:N17, 0)))</f>
        <v>Beginning</v>
      </c>
      <c r="R17" s="169" t="str">
        <f>Gymnastics!H17</f>
        <v>Achieving</v>
      </c>
      <c r="S17" s="169" t="str">
        <f>IFERROR(
    INDEX('ASTS 2+3'!$F$5:$I$100,
        MATCH(A17, 'ASTS 2+3'!$A$5:$A$100, 0),
        MATCH("Normative value if " &amp; C17 &amp; " years old", 'ASTS 2+3'!$F$4:$I$4, 0)),
    IFERROR(
        INDEX('ASTS 2+3'!$O$5:$R$100,
            MATCH(A17, 'ASTS 2+3'!$J$5:$J$100, 0),
            MATCH("Normative value if " &amp; C17 &amp; " years old", 'ASTS 2+3'!$O$4:$R$4, 0)),
    "Not Found"))</f>
        <v>Progressing</v>
      </c>
      <c r="T17" s="169" t="str" cm="1">
        <f t="array" ref="T17">IF(COUNTA(R17:S17)=0, "", INDEX(R17:S17, MATCH(MAX(COUNTIF(R17:S17, R17:S17)), COUNTIF(R17:S17, R17:S17), 0)))</f>
        <v>Achieving</v>
      </c>
      <c r="U17" s="169" t="str">
        <f>'Rock to stand'!L17</f>
        <v>Beginning</v>
      </c>
    </row>
    <row r="18" spans="1:21" ht="13.8" x14ac:dyDescent="0.25">
      <c r="A18" s="251" t="s">
        <v>268</v>
      </c>
      <c r="B18" s="235" t="s">
        <v>183</v>
      </c>
      <c r="C18" s="235">
        <v>10</v>
      </c>
      <c r="D18" s="170" t="str">
        <f>'Run'!I18</f>
        <v>Beginning</v>
      </c>
      <c r="E18" s="170" t="str">
        <f>'Vertical Jump'!I18</f>
        <v>Beginning</v>
      </c>
      <c r="F18" s="170" t="str">
        <f>Leap!I18</f>
        <v>Beginning</v>
      </c>
      <c r="G18" s="170" t="str">
        <f>Dodge!I18</f>
        <v>Beginning</v>
      </c>
      <c r="H18" s="170" t="str">
        <f>Catch!J18</f>
        <v>Beginning</v>
      </c>
      <c r="I18" s="170" t="str">
        <f>'Overhand throw'!J18</f>
        <v>Beginning</v>
      </c>
      <c r="J18" s="170" t="str">
        <f>Kick!K18</f>
        <v>Beginning</v>
      </c>
      <c r="K18" s="170" t="str">
        <f>Punt!L18</f>
        <v>Beginning</v>
      </c>
      <c r="L18" s="170" t="str">
        <f>Bounce!I18</f>
        <v>Achieving</v>
      </c>
      <c r="M18" s="170" t="str">
        <f>'Two-handed strike'!L18</f>
        <v>Beginning</v>
      </c>
      <c r="N18" s="170" t="str">
        <f>'Forehand strike'!K18</f>
        <v>Beginning</v>
      </c>
      <c r="O18" s="170" t="str" cm="1">
        <f t="array" ref="O18">INDEX(D18:N18, _xlfn.MODE.SNGL(MATCH(D18:N18, D18:N18, 0)))</f>
        <v>Beginning</v>
      </c>
      <c r="P18" s="170" t="str" cm="1">
        <f t="array" ref="P18">INDEX(D18:G18, _xlfn.MODE.SNGL(MATCH(D18:G18, D18:G18, 0)))</f>
        <v>Beginning</v>
      </c>
      <c r="Q18" s="170" t="str" cm="1">
        <f t="array" ref="Q18">INDEX(H18:N18, _xlfn.MODE.SNGL(MATCH(H18:N18, H18:N18, 0)))</f>
        <v>Beginning</v>
      </c>
      <c r="R18" s="169" t="str">
        <f>Gymnastics!H18</f>
        <v>Progressing</v>
      </c>
      <c r="S18" s="169" t="str">
        <f>IFERROR(
    INDEX('ASTS 2+3'!$F$5:$I$100,
        MATCH(A18, 'ASTS 2+3'!$A$5:$A$100, 0),
        MATCH("Normative value if " &amp; C18 &amp; " years old", 'ASTS 2+3'!$F$4:$I$4, 0)),
    IFERROR(
        INDEX('ASTS 2+3'!$O$5:$R$100,
            MATCH(A18, 'ASTS 2+3'!$J$5:$J$100, 0),
            MATCH("Normative value if " &amp; C18 &amp; " years old", 'ASTS 2+3'!$O$4:$R$4, 0)),
    "Not Found"))</f>
        <v>At Level</v>
      </c>
      <c r="T18" s="169" t="str" cm="1">
        <f t="array" ref="T18">IF(COUNTA(R18:S18)=0, "", INDEX(R18:S18, MATCH(MAX(COUNTIF(R18:S18, R18:S18)), COUNTIF(R18:S18, R18:S18), 0)))</f>
        <v>Progressing</v>
      </c>
      <c r="U18" s="169" t="str">
        <f>'Rock to stand'!L18</f>
        <v>Excelling</v>
      </c>
    </row>
    <row r="19" spans="1:21" ht="13.8" x14ac:dyDescent="0.25">
      <c r="A19" s="251" t="s">
        <v>268</v>
      </c>
      <c r="B19" s="182" t="s">
        <v>184</v>
      </c>
      <c r="C19" s="182">
        <v>10</v>
      </c>
      <c r="D19" s="170" t="str">
        <f>'Run'!I19</f>
        <v>Beginning</v>
      </c>
      <c r="E19" s="170" t="str">
        <f>'Vertical Jump'!I19</f>
        <v>Beginning</v>
      </c>
      <c r="F19" s="170" t="str">
        <f>Leap!I19</f>
        <v>Beginning</v>
      </c>
      <c r="G19" s="170" t="str">
        <f>Dodge!I19</f>
        <v>Beginning</v>
      </c>
      <c r="H19" s="170" t="str">
        <f>Catch!J19</f>
        <v>Beginning</v>
      </c>
      <c r="I19" s="170" t="str">
        <f>'Overhand throw'!J19</f>
        <v>Beginning</v>
      </c>
      <c r="J19" s="170" t="str">
        <f>Kick!K19</f>
        <v>Beginning</v>
      </c>
      <c r="K19" s="170" t="str">
        <f>Punt!L19</f>
        <v>Beginning</v>
      </c>
      <c r="L19" s="170" t="str">
        <f>Bounce!I19</f>
        <v>Achieving</v>
      </c>
      <c r="M19" s="170" t="str">
        <f>'Two-handed strike'!L19</f>
        <v>Beginning</v>
      </c>
      <c r="N19" s="170" t="str">
        <f>'Forehand strike'!K19</f>
        <v>Beginning</v>
      </c>
      <c r="O19" s="170" t="str" cm="1">
        <f t="array" ref="O19">INDEX(D19:N19, _xlfn.MODE.SNGL(MATCH(D19:N19, D19:N19, 0)))</f>
        <v>Beginning</v>
      </c>
      <c r="P19" s="170" t="str" cm="1">
        <f t="array" ref="P19">INDEX(D19:G19, _xlfn.MODE.SNGL(MATCH(D19:G19, D19:G19, 0)))</f>
        <v>Beginning</v>
      </c>
      <c r="Q19" s="170" t="str" cm="1">
        <f t="array" ref="Q19">INDEX(H19:N19, _xlfn.MODE.SNGL(MATCH(H19:N19, H19:N19, 0)))</f>
        <v>Beginning</v>
      </c>
      <c r="R19" s="169" t="str">
        <f>Gymnastics!H19</f>
        <v>Achieving</v>
      </c>
      <c r="S19" s="169" t="str">
        <f>IFERROR(
    INDEX('ASTS 2+3'!$F$5:$I$100,
        MATCH(A19, 'ASTS 2+3'!$A$5:$A$100, 0),
        MATCH("Normative value if " &amp; C19 &amp; " years old", 'ASTS 2+3'!$F$4:$I$4, 0)),
    IFERROR(
        INDEX('ASTS 2+3'!$O$5:$R$100,
            MATCH(A19, 'ASTS 2+3'!$J$5:$J$100, 0),
            MATCH("Normative value if " &amp; C19 &amp; " years old", 'ASTS 2+3'!$O$4:$R$4, 0)),
    "Not Found"))</f>
        <v>At Level</v>
      </c>
      <c r="T19" s="169" t="str" cm="1">
        <f t="array" ref="T19">IF(COUNTA(R19:S19)=0, "", INDEX(R19:S19, MATCH(MAX(COUNTIF(R19:S19, R19:S19)), COUNTIF(R19:S19, R19:S19), 0)))</f>
        <v>Achieving</v>
      </c>
      <c r="U19" s="169" t="str">
        <f>'Rock to stand'!L19</f>
        <v>Excelling</v>
      </c>
    </row>
    <row r="20" spans="1:21" ht="13.8" x14ac:dyDescent="0.25">
      <c r="A20" s="251" t="s">
        <v>268</v>
      </c>
      <c r="B20" s="235" t="s">
        <v>184</v>
      </c>
      <c r="C20" s="235">
        <v>10</v>
      </c>
      <c r="D20" s="170" t="str">
        <f>'Run'!I20</f>
        <v>Beginning</v>
      </c>
      <c r="E20" s="170" t="str">
        <f>'Vertical Jump'!I20</f>
        <v>Beginning</v>
      </c>
      <c r="F20" s="170" t="str">
        <f>Leap!I20</f>
        <v>Beginning</v>
      </c>
      <c r="G20" s="170" t="str">
        <f>Dodge!I20</f>
        <v>Beginning</v>
      </c>
      <c r="H20" s="170" t="str">
        <f>Catch!J20</f>
        <v>Beginning</v>
      </c>
      <c r="I20" s="170" t="str">
        <f>'Overhand throw'!J20</f>
        <v>Beginning</v>
      </c>
      <c r="J20" s="170" t="str">
        <f>Kick!K20</f>
        <v>Beginning</v>
      </c>
      <c r="K20" s="170" t="str">
        <f>Punt!L20</f>
        <v>Beginning</v>
      </c>
      <c r="L20" s="170" t="str">
        <f>Bounce!I20</f>
        <v>Achieving</v>
      </c>
      <c r="M20" s="170" t="str">
        <f>'Two-handed strike'!L20</f>
        <v>Beginning</v>
      </c>
      <c r="N20" s="170" t="str">
        <f>'Forehand strike'!K20</f>
        <v>Beginning</v>
      </c>
      <c r="O20" s="170" t="str" cm="1">
        <f t="array" ref="O20">INDEX(D20:N20, _xlfn.MODE.SNGL(MATCH(D20:N20, D20:N20, 0)))</f>
        <v>Beginning</v>
      </c>
      <c r="P20" s="170" t="str" cm="1">
        <f t="array" ref="P20">INDEX(D20:G20, _xlfn.MODE.SNGL(MATCH(D20:G20, D20:G20, 0)))</f>
        <v>Beginning</v>
      </c>
      <c r="Q20" s="170" t="str" cm="1">
        <f t="array" ref="Q20">INDEX(H20:N20, _xlfn.MODE.SNGL(MATCH(H20:N20, H20:N20, 0)))</f>
        <v>Beginning</v>
      </c>
      <c r="R20" s="169" t="str">
        <f>Gymnastics!H20</f>
        <v>Beginning</v>
      </c>
      <c r="S20" s="169" t="str">
        <f>IFERROR(
    INDEX('ASTS 2+3'!$F$5:$I$100,
        MATCH(A20, 'ASTS 2+3'!$A$5:$A$100, 0),
        MATCH("Normative value if " &amp; C20 &amp; " years old", 'ASTS 2+3'!$F$4:$I$4, 0)),
    IFERROR(
        INDEX('ASTS 2+3'!$O$5:$R$100,
            MATCH(A20, 'ASTS 2+3'!$J$5:$J$100, 0),
            MATCH("Normative value if " &amp; C20 &amp; " years old", 'ASTS 2+3'!$O$4:$R$4, 0)),
    "Not Found"))</f>
        <v>At Level</v>
      </c>
      <c r="T20" s="169" t="str" cm="1">
        <f t="array" ref="T20">IF(COUNTA(R20:S20)=0, "", INDEX(R20:S20, MATCH(MAX(COUNTIF(R20:S20, R20:S20)), COUNTIF(R20:S20, R20:S20), 0)))</f>
        <v>Beginning</v>
      </c>
      <c r="U20" s="169" t="str">
        <f>'Rock to stand'!L20</f>
        <v>Excelling</v>
      </c>
    </row>
    <row r="21" spans="1:21" ht="13.8" x14ac:dyDescent="0.25">
      <c r="A21" s="251" t="s">
        <v>268</v>
      </c>
      <c r="B21" s="182" t="s">
        <v>184</v>
      </c>
      <c r="C21" s="182">
        <v>9</v>
      </c>
      <c r="D21" s="170" t="str">
        <f>'Run'!I21</f>
        <v>Beginning</v>
      </c>
      <c r="E21" s="170" t="str">
        <f>'Vertical Jump'!I21</f>
        <v>Beginning</v>
      </c>
      <c r="F21" s="170" t="str">
        <f>Leap!I21</f>
        <v>Beginning</v>
      </c>
      <c r="G21" s="170" t="str">
        <f>Dodge!I21</f>
        <v>Beginning</v>
      </c>
      <c r="H21" s="170" t="str">
        <f>Catch!J21</f>
        <v>Beginning</v>
      </c>
      <c r="I21" s="170" t="str">
        <f>'Overhand throw'!J21</f>
        <v>Beginning</v>
      </c>
      <c r="J21" s="170" t="str">
        <f>Kick!K21</f>
        <v>Beginning</v>
      </c>
      <c r="K21" s="170" t="str">
        <f>Punt!L21</f>
        <v>Beginning</v>
      </c>
      <c r="L21" s="170" t="str">
        <f>Bounce!I21</f>
        <v>Achieving</v>
      </c>
      <c r="M21" s="170" t="str">
        <f>'Two-handed strike'!L21</f>
        <v>Beginning</v>
      </c>
      <c r="N21" s="170" t="str">
        <f>'Forehand strike'!K21</f>
        <v>Beginning</v>
      </c>
      <c r="O21" s="170" t="str" cm="1">
        <f t="array" ref="O21">INDEX(D21:N21, _xlfn.MODE.SNGL(MATCH(D21:N21, D21:N21, 0)))</f>
        <v>Beginning</v>
      </c>
      <c r="P21" s="170" t="str" cm="1">
        <f t="array" ref="P21">INDEX(D21:G21, _xlfn.MODE.SNGL(MATCH(D21:G21, D21:G21, 0)))</f>
        <v>Beginning</v>
      </c>
      <c r="Q21" s="170" t="str" cm="1">
        <f t="array" ref="Q21">INDEX(H21:N21, _xlfn.MODE.SNGL(MATCH(H21:N21, H21:N21, 0)))</f>
        <v>Beginning</v>
      </c>
      <c r="R21" s="169" t="str">
        <f>Gymnastics!H21</f>
        <v>Progressing</v>
      </c>
      <c r="S21" s="169" t="str">
        <f>IFERROR(
    INDEX('ASTS 2+3'!$F$5:$I$100,
        MATCH(A21, 'ASTS 2+3'!$A$5:$A$100, 0),
        MATCH("Normative value if " &amp; C21 &amp; " years old", 'ASTS 2+3'!$F$4:$I$4, 0)),
    IFERROR(
        INDEX('ASTS 2+3'!$O$5:$R$100,
            MATCH(A21, 'ASTS 2+3'!$J$5:$J$100, 0),
            MATCH("Normative value if " &amp; C21 &amp; " years old", 'ASTS 2+3'!$O$4:$R$4, 0)),
    "Not Found"))</f>
        <v>Progressing</v>
      </c>
      <c r="T21" s="169" t="str" cm="1">
        <f t="array" ref="T21">IF(COUNTA(R21:S21)=0, "", INDEX(R21:S21, MATCH(MAX(COUNTIF(R21:S21, R21:S21)), COUNTIF(R21:S21, R21:S21), 0)))</f>
        <v>Progressing</v>
      </c>
      <c r="U21" s="169" t="str">
        <f>'Rock to stand'!L21</f>
        <v>Beginning</v>
      </c>
    </row>
    <row r="22" spans="1:21" ht="13.8" x14ac:dyDescent="0.25">
      <c r="A22" s="251" t="s">
        <v>268</v>
      </c>
      <c r="B22" s="235" t="s">
        <v>183</v>
      </c>
      <c r="C22" s="235">
        <v>10</v>
      </c>
      <c r="D22" s="170" t="str">
        <f>'Run'!I22</f>
        <v>Beginning</v>
      </c>
      <c r="E22" s="170" t="str">
        <f>'Vertical Jump'!I22</f>
        <v>Beginning</v>
      </c>
      <c r="F22" s="170" t="str">
        <f>Leap!I22</f>
        <v>Beginning</v>
      </c>
      <c r="G22" s="170" t="str">
        <f>Dodge!I22</f>
        <v>Beginning</v>
      </c>
      <c r="H22" s="170" t="str">
        <f>Catch!J22</f>
        <v>Beginning</v>
      </c>
      <c r="I22" s="170" t="str">
        <f>'Overhand throw'!J22</f>
        <v>Beginning</v>
      </c>
      <c r="J22" s="170" t="str">
        <f>Kick!K22</f>
        <v>Beginning</v>
      </c>
      <c r="K22" s="170" t="str">
        <f>Punt!L22</f>
        <v>Beginning</v>
      </c>
      <c r="L22" s="170" t="str">
        <f>Bounce!I22</f>
        <v>Achieving</v>
      </c>
      <c r="M22" s="170" t="str">
        <f>'Two-handed strike'!L22</f>
        <v>Beginning</v>
      </c>
      <c r="N22" s="170" t="str">
        <f>'Forehand strike'!K22</f>
        <v>Beginning</v>
      </c>
      <c r="O22" s="170" t="str" cm="1">
        <f t="array" ref="O22">INDEX(D22:N22, _xlfn.MODE.SNGL(MATCH(D22:N22, D22:N22, 0)))</f>
        <v>Beginning</v>
      </c>
      <c r="P22" s="170" t="str" cm="1">
        <f t="array" ref="P22">INDEX(D22:G22, _xlfn.MODE.SNGL(MATCH(D22:G22, D22:G22, 0)))</f>
        <v>Beginning</v>
      </c>
      <c r="Q22" s="170" t="str" cm="1">
        <f t="array" ref="Q22">INDEX(H22:N22, _xlfn.MODE.SNGL(MATCH(H22:N22, H22:N22, 0)))</f>
        <v>Beginning</v>
      </c>
      <c r="R22" s="169" t="str">
        <f>Gymnastics!H22</f>
        <v>Beginning</v>
      </c>
      <c r="S22" s="169" t="str">
        <f>IFERROR(
    INDEX('ASTS 2+3'!$F$5:$I$100,
        MATCH(A22, 'ASTS 2+3'!$A$5:$A$100, 0),
        MATCH("Normative value if " &amp; C22 &amp; " years old", 'ASTS 2+3'!$F$4:$I$4, 0)),
    IFERROR(
        INDEX('ASTS 2+3'!$O$5:$R$100,
            MATCH(A22, 'ASTS 2+3'!$J$5:$J$100, 0),
            MATCH("Normative value if " &amp; C22 &amp; " years old", 'ASTS 2+3'!$O$4:$R$4, 0)),
    "Not Found"))</f>
        <v>At Level</v>
      </c>
      <c r="T22" s="169" t="str" cm="1">
        <f t="array" ref="T22">IF(COUNTA(R22:S22)=0, "", INDEX(R22:S22, MATCH(MAX(COUNTIF(R22:S22, R22:S22)), COUNTIF(R22:S22, R22:S22), 0)))</f>
        <v>Beginning</v>
      </c>
      <c r="U22" s="169" t="str">
        <f>'Rock to stand'!L22</f>
        <v>Excelling</v>
      </c>
    </row>
    <row r="23" spans="1:21" ht="13.8" x14ac:dyDescent="0.25">
      <c r="A23" s="251" t="s">
        <v>268</v>
      </c>
      <c r="B23" s="182" t="s">
        <v>183</v>
      </c>
      <c r="C23" s="182">
        <v>10</v>
      </c>
      <c r="D23" s="170" t="str">
        <f>'Run'!I23</f>
        <v>Beginning</v>
      </c>
      <c r="E23" s="170" t="str">
        <f>'Vertical Jump'!I23</f>
        <v>Beginning</v>
      </c>
      <c r="F23" s="170" t="str">
        <f>Leap!I23</f>
        <v>Beginning</v>
      </c>
      <c r="G23" s="170" t="str">
        <f>Dodge!I23</f>
        <v>Beginning</v>
      </c>
      <c r="H23" s="170" t="str">
        <f>Catch!J23</f>
        <v>Beginning</v>
      </c>
      <c r="I23" s="170" t="str">
        <f>'Overhand throw'!J23</f>
        <v>Beginning</v>
      </c>
      <c r="J23" s="170" t="str">
        <f>Kick!K23</f>
        <v>Beginning</v>
      </c>
      <c r="K23" s="170" t="str">
        <f>Punt!L23</f>
        <v>Beginning</v>
      </c>
      <c r="L23" s="170" t="str">
        <f>Bounce!I23</f>
        <v>Achieving</v>
      </c>
      <c r="M23" s="170" t="str">
        <f>'Two-handed strike'!L23</f>
        <v>Beginning</v>
      </c>
      <c r="N23" s="170" t="str">
        <f>'Forehand strike'!K23</f>
        <v>Beginning</v>
      </c>
      <c r="O23" s="170" t="str" cm="1">
        <f t="array" ref="O23">INDEX(D23:N23, _xlfn.MODE.SNGL(MATCH(D23:N23, D23:N23, 0)))</f>
        <v>Beginning</v>
      </c>
      <c r="P23" s="170" t="str" cm="1">
        <f t="array" ref="P23">INDEX(D23:G23, _xlfn.MODE.SNGL(MATCH(D23:G23, D23:G23, 0)))</f>
        <v>Beginning</v>
      </c>
      <c r="Q23" s="170" t="str" cm="1">
        <f t="array" ref="Q23">INDEX(H23:N23, _xlfn.MODE.SNGL(MATCH(H23:N23, H23:N23, 0)))</f>
        <v>Beginning</v>
      </c>
      <c r="R23" s="169" t="str">
        <f>Gymnastics!H23</f>
        <v>Beginning</v>
      </c>
      <c r="S23" s="169" t="str">
        <f>IFERROR(
    INDEX('ASTS 2+3'!$F$5:$I$100,
        MATCH(A23, 'ASTS 2+3'!$A$5:$A$100, 0),
        MATCH("Normative value if " &amp; C23 &amp; " years old", 'ASTS 2+3'!$F$4:$I$4, 0)),
    IFERROR(
        INDEX('ASTS 2+3'!$O$5:$R$100,
            MATCH(A23, 'ASTS 2+3'!$J$5:$J$100, 0),
            MATCH("Normative value if " &amp; C23 &amp; " years old", 'ASTS 2+3'!$O$4:$R$4, 0)),
    "Not Found"))</f>
        <v>At Level</v>
      </c>
      <c r="T23" s="169" t="str" cm="1">
        <f t="array" ref="T23">IF(COUNTA(R23:S23)=0, "", INDEX(R23:S23, MATCH(MAX(COUNTIF(R23:S23, R23:S23)), COUNTIF(R23:S23, R23:S23), 0)))</f>
        <v>Beginning</v>
      </c>
      <c r="U23" s="169" t="str">
        <f>'Rock to stand'!L23</f>
        <v>Excelling</v>
      </c>
    </row>
    <row r="24" spans="1:21" ht="13.8" x14ac:dyDescent="0.25">
      <c r="A24" s="251" t="s">
        <v>268</v>
      </c>
      <c r="B24" s="235" t="s">
        <v>183</v>
      </c>
      <c r="C24" s="235">
        <v>9</v>
      </c>
      <c r="D24" s="170" t="str">
        <f>'Run'!I24</f>
        <v>Beginning</v>
      </c>
      <c r="E24" s="170" t="str">
        <f>'Vertical Jump'!I24</f>
        <v>Beginning</v>
      </c>
      <c r="F24" s="170" t="str">
        <f>Leap!I24</f>
        <v>Beginning</v>
      </c>
      <c r="G24" s="170" t="str">
        <f>Dodge!I24</f>
        <v>Beginning</v>
      </c>
      <c r="H24" s="170" t="str">
        <f>Catch!J24</f>
        <v>Beginning</v>
      </c>
      <c r="I24" s="170" t="str">
        <f>'Overhand throw'!J24</f>
        <v>Beginning</v>
      </c>
      <c r="J24" s="170" t="str">
        <f>Kick!K24</f>
        <v>Beginning</v>
      </c>
      <c r="K24" s="170" t="str">
        <f>Punt!L24</f>
        <v>Beginning</v>
      </c>
      <c r="L24" s="170" t="str">
        <f>Bounce!I24</f>
        <v>Progressing</v>
      </c>
      <c r="M24" s="170" t="str">
        <f>'Two-handed strike'!L24</f>
        <v>Beginning</v>
      </c>
      <c r="N24" s="170" t="str">
        <f>'Forehand strike'!K24</f>
        <v>Beginning</v>
      </c>
      <c r="O24" s="170" t="str" cm="1">
        <f t="array" ref="O24">INDEX(D24:N24, _xlfn.MODE.SNGL(MATCH(D24:N24, D24:N24, 0)))</f>
        <v>Beginning</v>
      </c>
      <c r="P24" s="170" t="str" cm="1">
        <f t="array" ref="P24">INDEX(D24:G24, _xlfn.MODE.SNGL(MATCH(D24:G24, D24:G24, 0)))</f>
        <v>Beginning</v>
      </c>
      <c r="Q24" s="170" t="str" cm="1">
        <f t="array" ref="Q24">INDEX(H24:N24, _xlfn.MODE.SNGL(MATCH(H24:N24, H24:N24, 0)))</f>
        <v>Beginning</v>
      </c>
      <c r="R24" s="169" t="str">
        <f>Gymnastics!H24</f>
        <v>Beginning</v>
      </c>
      <c r="S24" s="169" t="str">
        <f>IFERROR(
    INDEX('ASTS 2+3'!$F$5:$I$100,
        MATCH(A24, 'ASTS 2+3'!$A$5:$A$100, 0),
        MATCH("Normative value if " &amp; C24 &amp; " years old", 'ASTS 2+3'!$F$4:$I$4, 0)),
    IFERROR(
        INDEX('ASTS 2+3'!$O$5:$R$100,
            MATCH(A24, 'ASTS 2+3'!$J$5:$J$100, 0),
            MATCH("Normative value if " &amp; C24 &amp; " years old", 'ASTS 2+3'!$O$4:$R$4, 0)),
    "Not Found"))</f>
        <v>Progressing</v>
      </c>
      <c r="T24" s="169" t="str" cm="1">
        <f t="array" ref="T24">IF(COUNTA(R24:S24)=0, "", INDEX(R24:S24, MATCH(MAX(COUNTIF(R24:S24, R24:S24)), COUNTIF(R24:S24, R24:S24), 0)))</f>
        <v>Beginning</v>
      </c>
      <c r="U24" s="169" t="str">
        <f>'Rock to stand'!L24</f>
        <v>Beginning</v>
      </c>
    </row>
    <row r="25" spans="1:21" ht="13.8" x14ac:dyDescent="0.25">
      <c r="A25" s="251" t="s">
        <v>268</v>
      </c>
      <c r="B25" s="182" t="s">
        <v>183</v>
      </c>
      <c r="C25" s="182">
        <v>10</v>
      </c>
      <c r="D25" s="170" t="str">
        <f>'Run'!I25</f>
        <v>Beginning</v>
      </c>
      <c r="E25" s="170" t="str">
        <f>'Vertical Jump'!I25</f>
        <v>Beginning</v>
      </c>
      <c r="F25" s="170" t="str">
        <f>Leap!I25</f>
        <v>Beginning</v>
      </c>
      <c r="G25" s="170" t="str">
        <f>Dodge!I25</f>
        <v>Beginning</v>
      </c>
      <c r="H25" s="170" t="str">
        <f>Catch!J25</f>
        <v>Beginning</v>
      </c>
      <c r="I25" s="170" t="str">
        <f>'Overhand throw'!J25</f>
        <v>Beginning</v>
      </c>
      <c r="J25" s="170" t="str">
        <f>Kick!K25</f>
        <v>Beginning</v>
      </c>
      <c r="K25" s="170" t="str">
        <f>Punt!L25</f>
        <v>Beginning</v>
      </c>
      <c r="L25" s="170" t="str">
        <f>Bounce!I25</f>
        <v>Progressing</v>
      </c>
      <c r="M25" s="170" t="str">
        <f>'Two-handed strike'!L25</f>
        <v>Beginning</v>
      </c>
      <c r="N25" s="170" t="str">
        <f>'Forehand strike'!K25</f>
        <v>Beginning</v>
      </c>
      <c r="O25" s="170" t="str" cm="1">
        <f t="array" ref="O25">INDEX(D25:N25, _xlfn.MODE.SNGL(MATCH(D25:N25, D25:N25, 0)))</f>
        <v>Beginning</v>
      </c>
      <c r="P25" s="170" t="str" cm="1">
        <f t="array" ref="P25">INDEX(D25:G25, _xlfn.MODE.SNGL(MATCH(D25:G25, D25:G25, 0)))</f>
        <v>Beginning</v>
      </c>
      <c r="Q25" s="170" t="str" cm="1">
        <f t="array" ref="Q25">INDEX(H25:N25, _xlfn.MODE.SNGL(MATCH(H25:N25, H25:N25, 0)))</f>
        <v>Beginning</v>
      </c>
      <c r="R25" s="169" t="str">
        <f>Gymnastics!H25</f>
        <v>Achieving</v>
      </c>
      <c r="S25" s="169" t="str">
        <f>IFERROR(
    INDEX('ASTS 2+3'!$F$5:$I$100,
        MATCH(A25, 'ASTS 2+3'!$A$5:$A$100, 0),
        MATCH("Normative value if " &amp; C25 &amp; " years old", 'ASTS 2+3'!$F$4:$I$4, 0)),
    IFERROR(
        INDEX('ASTS 2+3'!$O$5:$R$100,
            MATCH(A25, 'ASTS 2+3'!$J$5:$J$100, 0),
            MATCH("Normative value if " &amp; C25 &amp; " years old", 'ASTS 2+3'!$O$4:$R$4, 0)),
    "Not Found"))</f>
        <v>At Level</v>
      </c>
      <c r="T25" s="169" t="str" cm="1">
        <f t="array" ref="T25">IF(COUNTA(R25:S25)=0, "", INDEX(R25:S25, MATCH(MAX(COUNTIF(R25:S25, R25:S25)), COUNTIF(R25:S25, R25:S25), 0)))</f>
        <v>Achieving</v>
      </c>
      <c r="U25" s="169" t="str">
        <f>'Rock to stand'!L25</f>
        <v>Excelling</v>
      </c>
    </row>
    <row r="26" spans="1:21" ht="13.8" x14ac:dyDescent="0.25">
      <c r="A26" s="251" t="s">
        <v>268</v>
      </c>
      <c r="B26" s="235" t="s">
        <v>184</v>
      </c>
      <c r="C26" s="235">
        <v>10</v>
      </c>
      <c r="D26" s="170" t="str">
        <f>'Run'!I26</f>
        <v>Beginning</v>
      </c>
      <c r="E26" s="170" t="str">
        <f>'Vertical Jump'!I26</f>
        <v>Beginning</v>
      </c>
      <c r="F26" s="170" t="str">
        <f>Leap!I26</f>
        <v>Beginning</v>
      </c>
      <c r="G26" s="170" t="str">
        <f>Dodge!I26</f>
        <v>Beginning</v>
      </c>
      <c r="H26" s="170" t="str">
        <f>Catch!J26</f>
        <v>Beginning</v>
      </c>
      <c r="I26" s="170" t="str">
        <f>'Overhand throw'!J26</f>
        <v>Beginning</v>
      </c>
      <c r="J26" s="170" t="str">
        <f>Kick!K26</f>
        <v>Beginning</v>
      </c>
      <c r="K26" s="170" t="str">
        <f>Punt!L26</f>
        <v>Beginning</v>
      </c>
      <c r="L26" s="170" t="str">
        <f>Bounce!I26</f>
        <v>Progressing</v>
      </c>
      <c r="M26" s="170" t="str">
        <f>'Two-handed strike'!L26</f>
        <v>Beginning</v>
      </c>
      <c r="N26" s="170" t="str">
        <f>'Forehand strike'!K26</f>
        <v>Beginning</v>
      </c>
      <c r="O26" s="170" t="str" cm="1">
        <f t="array" ref="O26">INDEX(D26:N26, _xlfn.MODE.SNGL(MATCH(D26:N26, D26:N26, 0)))</f>
        <v>Beginning</v>
      </c>
      <c r="P26" s="170" t="str" cm="1">
        <f t="array" ref="P26">INDEX(D26:G26, _xlfn.MODE.SNGL(MATCH(D26:G26, D26:G26, 0)))</f>
        <v>Beginning</v>
      </c>
      <c r="Q26" s="170" t="str" cm="1">
        <f t="array" ref="Q26">INDEX(H26:N26, _xlfn.MODE.SNGL(MATCH(H26:N26, H26:N26, 0)))</f>
        <v>Beginning</v>
      </c>
      <c r="R26" s="169" t="str">
        <f>Gymnastics!H26</f>
        <v>Achieving</v>
      </c>
      <c r="S26" s="169" t="str">
        <f>IFERROR(
    INDEX('ASTS 2+3'!$F$5:$I$100,
        MATCH(A26, 'ASTS 2+3'!$A$5:$A$100, 0),
        MATCH("Normative value if " &amp; C26 &amp; " years old", 'ASTS 2+3'!$F$4:$I$4, 0)),
    IFERROR(
        INDEX('ASTS 2+3'!$O$5:$R$100,
            MATCH(A26, 'ASTS 2+3'!$J$5:$J$100, 0),
            MATCH("Normative value if " &amp; C26 &amp; " years old", 'ASTS 2+3'!$O$4:$R$4, 0)),
    "Not Found"))</f>
        <v>At Level</v>
      </c>
      <c r="T26" s="169" t="str" cm="1">
        <f t="array" ref="T26">IF(COUNTA(R26:S26)=0, "", INDEX(R26:S26, MATCH(MAX(COUNTIF(R26:S26, R26:S26)), COUNTIF(R26:S26, R26:S26), 0)))</f>
        <v>Achieving</v>
      </c>
      <c r="U26" s="169" t="str">
        <f>'Rock to stand'!L26</f>
        <v>Excelling</v>
      </c>
    </row>
    <row r="27" spans="1:21" ht="13.8" x14ac:dyDescent="0.25">
      <c r="A27" s="251" t="s">
        <v>268</v>
      </c>
      <c r="B27" s="182" t="s">
        <v>183</v>
      </c>
      <c r="C27" s="182">
        <v>9</v>
      </c>
      <c r="D27" s="170" t="str">
        <f>'Run'!I27</f>
        <v>Beginning</v>
      </c>
      <c r="E27" s="170" t="str">
        <f>'Vertical Jump'!I27</f>
        <v>Beginning</v>
      </c>
      <c r="F27" s="170" t="str">
        <f>Leap!I27</f>
        <v>Beginning</v>
      </c>
      <c r="G27" s="170" t="str">
        <f>Dodge!I27</f>
        <v>Beginning</v>
      </c>
      <c r="H27" s="170" t="str">
        <f>Catch!J27</f>
        <v>Beginning</v>
      </c>
      <c r="I27" s="170" t="str">
        <f>'Overhand throw'!J27</f>
        <v>Beginning</v>
      </c>
      <c r="J27" s="170" t="str">
        <f>Kick!K27</f>
        <v>Beginning</v>
      </c>
      <c r="K27" s="170" t="str">
        <f>Punt!L27</f>
        <v>Beginning</v>
      </c>
      <c r="L27" s="170" t="str">
        <f>Bounce!I27</f>
        <v>Progressing</v>
      </c>
      <c r="M27" s="170" t="str">
        <f>'Two-handed strike'!L27</f>
        <v>Beginning</v>
      </c>
      <c r="N27" s="170" t="str">
        <f>'Forehand strike'!K27</f>
        <v>Beginning</v>
      </c>
      <c r="O27" s="170" t="str" cm="1">
        <f t="array" ref="O27">INDEX(D27:N27, _xlfn.MODE.SNGL(MATCH(D27:N27, D27:N27, 0)))</f>
        <v>Beginning</v>
      </c>
      <c r="P27" s="170" t="str" cm="1">
        <f t="array" ref="P27">INDEX(D27:G27, _xlfn.MODE.SNGL(MATCH(D27:G27, D27:G27, 0)))</f>
        <v>Beginning</v>
      </c>
      <c r="Q27" s="170" t="str" cm="1">
        <f t="array" ref="Q27">INDEX(H27:N27, _xlfn.MODE.SNGL(MATCH(H27:N27, H27:N27, 0)))</f>
        <v>Beginning</v>
      </c>
      <c r="R27" s="169" t="str">
        <f>Gymnastics!H27</f>
        <v>Achieving</v>
      </c>
      <c r="S27" s="169" t="str">
        <f>IFERROR(
    INDEX('ASTS 2+3'!$F$5:$I$100,
        MATCH(A27, 'ASTS 2+3'!$A$5:$A$100, 0),
        MATCH("Normative value if " &amp; C27 &amp; " years old", 'ASTS 2+3'!$F$4:$I$4, 0)),
    IFERROR(
        INDEX('ASTS 2+3'!$O$5:$R$100,
            MATCH(A27, 'ASTS 2+3'!$J$5:$J$100, 0),
            MATCH("Normative value if " &amp; C27 &amp; " years old", 'ASTS 2+3'!$O$4:$R$4, 0)),
    "Not Found"))</f>
        <v>Progressing</v>
      </c>
      <c r="T27" s="169" t="str" cm="1">
        <f t="array" ref="T27">IF(COUNTA(R27:S27)=0, "", INDEX(R27:S27, MATCH(MAX(COUNTIF(R27:S27, R27:S27)), COUNTIF(R27:S27, R27:S27), 0)))</f>
        <v>Achieving</v>
      </c>
      <c r="U27" s="169" t="str">
        <f>'Rock to stand'!L27</f>
        <v>Beginning</v>
      </c>
    </row>
    <row r="28" spans="1:21" ht="13.8" x14ac:dyDescent="0.25">
      <c r="A28" s="251" t="s">
        <v>268</v>
      </c>
      <c r="B28" s="235" t="s">
        <v>183</v>
      </c>
      <c r="C28" s="235">
        <v>9</v>
      </c>
      <c r="D28" s="170" t="str">
        <f>'Run'!I28</f>
        <v>Beginning</v>
      </c>
      <c r="E28" s="170" t="str">
        <f>'Vertical Jump'!I28</f>
        <v>Beginning</v>
      </c>
      <c r="F28" s="170" t="str">
        <f>Leap!I28</f>
        <v>Beginning</v>
      </c>
      <c r="G28" s="170" t="str">
        <f>Dodge!I28</f>
        <v>Beginning</v>
      </c>
      <c r="H28" s="170" t="str">
        <f>Catch!J28</f>
        <v>Beginning</v>
      </c>
      <c r="I28" s="170" t="str">
        <f>'Overhand throw'!J28</f>
        <v>Beginning</v>
      </c>
      <c r="J28" s="170" t="str">
        <f>Kick!K28</f>
        <v>Beginning</v>
      </c>
      <c r="K28" s="170" t="str">
        <f>Punt!L28</f>
        <v>Beginning</v>
      </c>
      <c r="L28" s="170" t="str">
        <f>Bounce!I28</f>
        <v>Beginning</v>
      </c>
      <c r="M28" s="170" t="str">
        <f>'Two-handed strike'!L28</f>
        <v>Beginning</v>
      </c>
      <c r="N28" s="170" t="str">
        <f>'Forehand strike'!K28</f>
        <v>Beginning</v>
      </c>
      <c r="O28" s="170" t="str" cm="1">
        <f t="array" ref="O28">INDEX(D28:N28, _xlfn.MODE.SNGL(MATCH(D28:N28, D28:N28, 0)))</f>
        <v>Beginning</v>
      </c>
      <c r="P28" s="170" t="str" cm="1">
        <f t="array" ref="P28">INDEX(D28:G28, _xlfn.MODE.SNGL(MATCH(D28:G28, D28:G28, 0)))</f>
        <v>Beginning</v>
      </c>
      <c r="Q28" s="170" t="str" cm="1">
        <f t="array" ref="Q28">INDEX(H28:N28, _xlfn.MODE.SNGL(MATCH(H28:N28, H28:N28, 0)))</f>
        <v>Beginning</v>
      </c>
      <c r="R28" s="169" t="str">
        <f>Gymnastics!H28</f>
        <v>Achieving</v>
      </c>
      <c r="S28" s="169" t="str">
        <f>IFERROR(
    INDEX('ASTS 2+3'!$F$5:$I$100,
        MATCH(A28, 'ASTS 2+3'!$A$5:$A$100, 0),
        MATCH("Normative value if " &amp; C28 &amp; " years old", 'ASTS 2+3'!$F$4:$I$4, 0)),
    IFERROR(
        INDEX('ASTS 2+3'!$O$5:$R$100,
            MATCH(A28, 'ASTS 2+3'!$J$5:$J$100, 0),
            MATCH("Normative value if " &amp; C28 &amp; " years old", 'ASTS 2+3'!$O$4:$R$4, 0)),
    "Not Found"))</f>
        <v>Progressing</v>
      </c>
      <c r="T28" s="169" t="str" cm="1">
        <f t="array" ref="T28">IF(COUNTA(R28:S28)=0, "", INDEX(R28:S28, MATCH(MAX(COUNTIF(R28:S28, R28:S28)), COUNTIF(R28:S28, R28:S28), 0)))</f>
        <v>Achieving</v>
      </c>
      <c r="U28" s="169" t="str">
        <f>'Rock to stand'!L28</f>
        <v>Beginning</v>
      </c>
    </row>
    <row r="29" spans="1:21" ht="13.8" x14ac:dyDescent="0.25">
      <c r="A29" s="251" t="s">
        <v>268</v>
      </c>
      <c r="B29" s="182" t="s">
        <v>184</v>
      </c>
      <c r="C29" s="182">
        <v>9</v>
      </c>
      <c r="D29" s="170" t="str">
        <f>'Run'!I29</f>
        <v>Beginning</v>
      </c>
      <c r="E29" s="170" t="str">
        <f>'Vertical Jump'!I29</f>
        <v>Beginning</v>
      </c>
      <c r="F29" s="170" t="str">
        <f>Leap!I29</f>
        <v>Beginning</v>
      </c>
      <c r="G29" s="170" t="str">
        <f>Dodge!I29</f>
        <v>Beginning</v>
      </c>
      <c r="H29" s="170" t="str">
        <f>Catch!J29</f>
        <v>Beginning</v>
      </c>
      <c r="I29" s="170" t="str">
        <f>'Overhand throw'!J29</f>
        <v>Beginning</v>
      </c>
      <c r="J29" s="170" t="str">
        <f>Kick!K29</f>
        <v>Beginning</v>
      </c>
      <c r="K29" s="170" t="str">
        <f>Punt!L29</f>
        <v>Beginning</v>
      </c>
      <c r="L29" s="170" t="str">
        <f>Bounce!I29</f>
        <v>Beginning</v>
      </c>
      <c r="M29" s="170" t="str">
        <f>'Two-handed strike'!L29</f>
        <v>Beginning</v>
      </c>
      <c r="N29" s="170" t="str">
        <f>'Forehand strike'!K29</f>
        <v>Beginning</v>
      </c>
      <c r="O29" s="170" t="str" cm="1">
        <f t="array" ref="O29">INDEX(D29:N29, _xlfn.MODE.SNGL(MATCH(D29:N29, D29:N29, 0)))</f>
        <v>Beginning</v>
      </c>
      <c r="P29" s="170" t="str" cm="1">
        <f t="array" ref="P29">INDEX(D29:G29, _xlfn.MODE.SNGL(MATCH(D29:G29, D29:G29, 0)))</f>
        <v>Beginning</v>
      </c>
      <c r="Q29" s="170" t="str" cm="1">
        <f t="array" ref="Q29">INDEX(H29:N29, _xlfn.MODE.SNGL(MATCH(H29:N29, H29:N29, 0)))</f>
        <v>Beginning</v>
      </c>
      <c r="R29" s="169" t="str">
        <f>Gymnastics!H29</f>
        <v>Beginning</v>
      </c>
      <c r="S29" s="169" t="str">
        <f>IFERROR(
    INDEX('ASTS 2+3'!$F$5:$I$100,
        MATCH(A29, 'ASTS 2+3'!$A$5:$A$100, 0),
        MATCH("Normative value if " &amp; C29 &amp; " years old", 'ASTS 2+3'!$F$4:$I$4, 0)),
    IFERROR(
        INDEX('ASTS 2+3'!$O$5:$R$100,
            MATCH(A29, 'ASTS 2+3'!$J$5:$J$100, 0),
            MATCH("Normative value if " &amp; C29 &amp; " years old", 'ASTS 2+3'!$O$4:$R$4, 0)),
    "Not Found"))</f>
        <v>Progressing</v>
      </c>
      <c r="T29" s="169" t="str" cm="1">
        <f t="array" ref="T29">IF(COUNTA(R29:S29)=0, "", INDEX(R29:S29, MATCH(MAX(COUNTIF(R29:S29, R29:S29)), COUNTIF(R29:S29, R29:S29), 0)))</f>
        <v>Beginning</v>
      </c>
      <c r="U29" s="169" t="str">
        <f>'Rock to stand'!L29</f>
        <v>Beginning</v>
      </c>
    </row>
    <row r="30" spans="1:21" ht="13.8" x14ac:dyDescent="0.25">
      <c r="A30" s="251" t="s">
        <v>268</v>
      </c>
      <c r="B30" s="235" t="s">
        <v>184</v>
      </c>
      <c r="C30" s="235">
        <v>9</v>
      </c>
      <c r="D30" s="170" t="str">
        <f>'Run'!I30</f>
        <v>Beginning</v>
      </c>
      <c r="E30" s="170" t="str">
        <f>'Vertical Jump'!I30</f>
        <v>Beginning</v>
      </c>
      <c r="F30" s="170" t="str">
        <f>Leap!I30</f>
        <v>Beginning</v>
      </c>
      <c r="G30" s="170" t="str">
        <f>Dodge!I30</f>
        <v>Beginning</v>
      </c>
      <c r="H30" s="170" t="str">
        <f>Catch!J30</f>
        <v>Beginning</v>
      </c>
      <c r="I30" s="170" t="str">
        <f>'Overhand throw'!J30</f>
        <v>Beginning</v>
      </c>
      <c r="J30" s="170" t="str">
        <f>Kick!K30</f>
        <v>Beginning</v>
      </c>
      <c r="K30" s="170" t="str">
        <f>Punt!L30</f>
        <v>Beginning</v>
      </c>
      <c r="L30" s="170" t="str">
        <f>Bounce!I30</f>
        <v>Beginning</v>
      </c>
      <c r="M30" s="170" t="str">
        <f>'Two-handed strike'!L30</f>
        <v>Beginning</v>
      </c>
      <c r="N30" s="170" t="str">
        <f>'Forehand strike'!K30</f>
        <v>Beginning</v>
      </c>
      <c r="O30" s="170" t="str" cm="1">
        <f t="array" ref="O30">INDEX(D30:N30, _xlfn.MODE.SNGL(MATCH(D30:N30, D30:N30, 0)))</f>
        <v>Beginning</v>
      </c>
      <c r="P30" s="170" t="str" cm="1">
        <f t="array" ref="P30">INDEX(D30:G30, _xlfn.MODE.SNGL(MATCH(D30:G30, D30:G30, 0)))</f>
        <v>Beginning</v>
      </c>
      <c r="Q30" s="170" t="str" cm="1">
        <f t="array" ref="Q30">INDEX(H30:N30, _xlfn.MODE.SNGL(MATCH(H30:N30, H30:N30, 0)))</f>
        <v>Beginning</v>
      </c>
      <c r="R30" s="169" t="str">
        <f>Gymnastics!H30</f>
        <v>Progressing</v>
      </c>
      <c r="S30" s="169" t="str">
        <f>IFERROR(
    INDEX('ASTS 2+3'!$F$5:$I$100,
        MATCH(A30, 'ASTS 2+3'!$A$5:$A$100, 0),
        MATCH("Normative value if " &amp; C30 &amp; " years old", 'ASTS 2+3'!$F$4:$I$4, 0)),
    IFERROR(
        INDEX('ASTS 2+3'!$O$5:$R$100,
            MATCH(A30, 'ASTS 2+3'!$J$5:$J$100, 0),
            MATCH("Normative value if " &amp; C30 &amp; " years old", 'ASTS 2+3'!$O$4:$R$4, 0)),
    "Not Found"))</f>
        <v>Progressing</v>
      </c>
      <c r="T30" s="169" t="str" cm="1">
        <f t="array" ref="T30">IF(COUNTA(R30:S30)=0, "", INDEX(R30:S30, MATCH(MAX(COUNTIF(R30:S30, R30:S30)), COUNTIF(R30:S30, R30:S30), 0)))</f>
        <v>Progressing</v>
      </c>
      <c r="U30" s="169" t="str">
        <f>'Rock to stand'!L30</f>
        <v>Beginning</v>
      </c>
    </row>
    <row r="31" spans="1:21" ht="13.8" x14ac:dyDescent="0.25">
      <c r="A31" s="246"/>
      <c r="B31" s="182"/>
      <c r="C31" s="182"/>
      <c r="D31" s="170" t="str">
        <f>'Run'!I31</f>
        <v>Age Not Found</v>
      </c>
      <c r="E31" s="170" t="str">
        <f>'Vertical Jump'!I31</f>
        <v>Age Not Found</v>
      </c>
      <c r="F31" s="170" t="str">
        <f>Leap!I31</f>
        <v>Age Not Found</v>
      </c>
      <c r="G31" s="170" t="str">
        <f>Dodge!I31</f>
        <v>Age Not Found</v>
      </c>
      <c r="H31" s="170" t="str">
        <f>Catch!J31</f>
        <v>Age Not Found</v>
      </c>
      <c r="I31" s="170" t="str">
        <f>'Overhand throw'!J31</f>
        <v>Age Not Found</v>
      </c>
      <c r="J31" s="170" t="str">
        <f>Kick!K31</f>
        <v>Age Not Found</v>
      </c>
      <c r="K31" s="170" t="str">
        <f>Punt!L31</f>
        <v>Age Not Found</v>
      </c>
      <c r="L31" s="170" t="str">
        <f>Bounce!I31</f>
        <v>Age Not Found</v>
      </c>
      <c r="M31" s="170" t="str">
        <f>'Two-handed strike'!L31</f>
        <v>Age Not Found</v>
      </c>
      <c r="N31" s="170" t="str">
        <f>'Forehand strike'!K31</f>
        <v>Age Not Found</v>
      </c>
      <c r="O31" s="170" t="str" cm="1">
        <f t="array" ref="O31">INDEX(D31:N31, _xlfn.MODE.SNGL(MATCH(D31:N31, D31:N31, 0)))</f>
        <v>Age Not Found</v>
      </c>
      <c r="P31" s="170" t="str" cm="1">
        <f t="array" ref="P31">INDEX(D31:G31, _xlfn.MODE.SNGL(MATCH(D31:G31, D31:G31, 0)))</f>
        <v>Age Not Found</v>
      </c>
      <c r="Q31" s="170" t="str" cm="1">
        <f t="array" ref="Q31">INDEX(H31:N31, _xlfn.MODE.SNGL(MATCH(H31:N31, H31:N31, 0)))</f>
        <v>Age Not Found</v>
      </c>
      <c r="R31" s="169" t="str">
        <f>Gymnastics!H31</f>
        <v>Age Not Found</v>
      </c>
      <c r="S31" s="169" t="str">
        <f>IFERROR(
    INDEX('ASTS 2+3'!$F$5:$I$100,
        MATCH(A31, 'ASTS 2+3'!$A$5:$A$100, 0),
        MATCH("Normative value if " &amp; C31 &amp; " years old", 'ASTS 2+3'!$F$4:$I$4, 0)),
    IFERROR(
        INDEX('ASTS 2+3'!$O$5:$R$100,
            MATCH(A31, 'ASTS 2+3'!$J$5:$J$100, 0),
            MATCH("Normative value if " &amp; C31 &amp; " years old", 'ASTS 2+3'!$O$4:$R$4, 0)),
    "Not Found"))</f>
        <v>Not Found</v>
      </c>
      <c r="T31" s="169" t="str" cm="1">
        <f t="array" ref="T31">IF(COUNTA(R31:S31)=0, "", INDEX(R31:S31, MATCH(MAX(COUNTIF(R31:S31, R31:S31)), COUNTIF(R31:S31, R31:S31), 0)))</f>
        <v>Age Not Found</v>
      </c>
      <c r="U31" s="169" t="str">
        <f>'Rock to stand'!L31</f>
        <v>Age Not Found</v>
      </c>
    </row>
    <row r="32" spans="1:21" ht="13.8" x14ac:dyDescent="0.25">
      <c r="A32" s="247"/>
      <c r="B32" s="249"/>
      <c r="C32" s="249"/>
      <c r="D32" s="170" t="str">
        <f>'Run'!I32</f>
        <v>Age Not Found</v>
      </c>
      <c r="E32" s="170" t="str">
        <f>'Vertical Jump'!I32</f>
        <v>Age Not Found</v>
      </c>
      <c r="F32" s="170" t="str">
        <f>Leap!I32</f>
        <v>Age Not Found</v>
      </c>
      <c r="G32" s="170" t="str">
        <f>Dodge!I32</f>
        <v>Age Not Found</v>
      </c>
      <c r="H32" s="170" t="str">
        <f>Catch!J32</f>
        <v>Age Not Found</v>
      </c>
      <c r="I32" s="170" t="str">
        <f>'Overhand throw'!J32</f>
        <v>Age Not Found</v>
      </c>
      <c r="J32" s="170" t="str">
        <f>Kick!K32</f>
        <v>Age Not Found</v>
      </c>
      <c r="K32" s="170" t="str">
        <f>Punt!L32</f>
        <v>Age Not Found</v>
      </c>
      <c r="L32" s="170" t="str">
        <f>Bounce!I32</f>
        <v>Age Not Found</v>
      </c>
      <c r="M32" s="170" t="str">
        <f>'Two-handed strike'!L32</f>
        <v>Age Not Found</v>
      </c>
      <c r="N32" s="170" t="str">
        <f>'Forehand strike'!K32</f>
        <v>Age Not Found</v>
      </c>
      <c r="O32" s="170" t="str" cm="1">
        <f t="array" ref="O32">INDEX(D32:N32, _xlfn.MODE.SNGL(MATCH(D32:N32, D32:N32, 0)))</f>
        <v>Age Not Found</v>
      </c>
      <c r="P32" s="170" t="str" cm="1">
        <f t="array" ref="P32">INDEX(D32:G32, _xlfn.MODE.SNGL(MATCH(D32:G32, D32:G32, 0)))</f>
        <v>Age Not Found</v>
      </c>
      <c r="Q32" s="170" t="str" cm="1">
        <f t="array" ref="Q32">INDEX(H32:N32, _xlfn.MODE.SNGL(MATCH(H32:N32, H32:N32, 0)))</f>
        <v>Age Not Found</v>
      </c>
      <c r="R32" s="169" t="str">
        <f>Gymnastics!H32</f>
        <v>Age Not Found</v>
      </c>
      <c r="S32" s="169" t="str">
        <f>IFERROR(
    INDEX('ASTS 2+3'!$F$5:$I$100,
        MATCH(A32, 'ASTS 2+3'!$A$5:$A$100, 0),
        MATCH("Normative value if " &amp; C32 &amp; " years old", 'ASTS 2+3'!$F$4:$I$4, 0)),
    IFERROR(
        INDEX('ASTS 2+3'!$O$5:$R$100,
            MATCH(A32, 'ASTS 2+3'!$J$5:$J$100, 0),
            MATCH("Normative value if " &amp; C32 &amp; " years old", 'ASTS 2+3'!$O$4:$R$4, 0)),
    "Not Found"))</f>
        <v>Not Found</v>
      </c>
      <c r="T32" s="169" t="str" cm="1">
        <f t="array" ref="T32">IF(COUNTA(R32:S32)=0, "", INDEX(R32:S32, MATCH(MAX(COUNTIF(R32:S32, R32:S32)), COUNTIF(R32:S32, R32:S32), 0)))</f>
        <v>Age Not Found</v>
      </c>
      <c r="U32" s="169" t="str">
        <f>'Rock to stand'!L32</f>
        <v>Age Not Found</v>
      </c>
    </row>
    <row r="33" spans="1:21" ht="13.8" x14ac:dyDescent="0.25">
      <c r="A33" s="247"/>
      <c r="B33" s="249"/>
      <c r="C33" s="249"/>
      <c r="D33" s="170" t="str">
        <f>'Run'!I33</f>
        <v>Age Not Found</v>
      </c>
      <c r="E33" s="170" t="str">
        <f>'Vertical Jump'!I33</f>
        <v>Age Not Found</v>
      </c>
      <c r="F33" s="170" t="str">
        <f>Leap!I33</f>
        <v>Age Not Found</v>
      </c>
      <c r="G33" s="170" t="str">
        <f>Dodge!I33</f>
        <v>Age Not Found</v>
      </c>
      <c r="H33" s="170" t="str">
        <f>Catch!J33</f>
        <v>Age Not Found</v>
      </c>
      <c r="I33" s="170" t="str">
        <f>'Overhand throw'!J33</f>
        <v>Age Not Found</v>
      </c>
      <c r="J33" s="170" t="str">
        <f>Kick!K33</f>
        <v>Age Not Found</v>
      </c>
      <c r="K33" s="170" t="str">
        <f>Punt!L33</f>
        <v>Age Not Found</v>
      </c>
      <c r="L33" s="170" t="str">
        <f>Bounce!I33</f>
        <v>Age Not Found</v>
      </c>
      <c r="M33" s="170" t="str">
        <f>'Two-handed strike'!L33</f>
        <v>Age Not Found</v>
      </c>
      <c r="N33" s="170" t="str">
        <f>'Forehand strike'!K33</f>
        <v>Age Not Found</v>
      </c>
      <c r="O33" s="170" t="str" cm="1">
        <f t="array" ref="O33">INDEX(D33:N33, _xlfn.MODE.SNGL(MATCH(D33:N33, D33:N33, 0)))</f>
        <v>Age Not Found</v>
      </c>
      <c r="P33" s="170" t="str" cm="1">
        <f t="array" ref="P33">INDEX(D33:G33, _xlfn.MODE.SNGL(MATCH(D33:G33, D33:G33, 0)))</f>
        <v>Age Not Found</v>
      </c>
      <c r="Q33" s="170" t="str" cm="1">
        <f t="array" ref="Q33">INDEX(H33:N33, _xlfn.MODE.SNGL(MATCH(H33:N33, H33:N33, 0)))</f>
        <v>Age Not Found</v>
      </c>
      <c r="R33" s="169" t="str">
        <f>Gymnastics!H33</f>
        <v>Age Not Found</v>
      </c>
      <c r="S33" s="169" t="str">
        <f>IFERROR(
    INDEX('ASTS 2+3'!$F$5:$I$100,
        MATCH(A33, 'ASTS 2+3'!$A$5:$A$100, 0),
        MATCH("Normative value if " &amp; C33 &amp; " years old", 'ASTS 2+3'!$F$4:$I$4, 0)),
    IFERROR(
        INDEX('ASTS 2+3'!$O$5:$R$100,
            MATCH(A33, 'ASTS 2+3'!$J$5:$J$100, 0),
            MATCH("Normative value if " &amp; C33 &amp; " years old", 'ASTS 2+3'!$O$4:$R$4, 0)),
    "Not Found"))</f>
        <v>Not Found</v>
      </c>
      <c r="T33" s="169" t="str" cm="1">
        <f t="array" ref="T33">IF(COUNTA(R33:S33)=0, "", INDEX(R33:S33, MATCH(MAX(COUNTIF(R33:S33, R33:S33)), COUNTIF(R33:S33, R33:S33), 0)))</f>
        <v>Age Not Found</v>
      </c>
      <c r="U33" s="169" t="str">
        <f>'Rock to stand'!L33</f>
        <v>Age Not Found</v>
      </c>
    </row>
    <row r="34" spans="1:21" ht="14.4" thickBot="1" x14ac:dyDescent="0.3">
      <c r="A34" s="248"/>
      <c r="B34" s="250"/>
      <c r="C34" s="250"/>
      <c r="D34" s="171" t="str">
        <f>'Run'!I34</f>
        <v>Age Not Found</v>
      </c>
      <c r="E34" s="171" t="str">
        <f>'Vertical Jump'!I34</f>
        <v>Age Not Found</v>
      </c>
      <c r="F34" s="171" t="str">
        <f>Leap!I34</f>
        <v>Age Not Found</v>
      </c>
      <c r="G34" s="171" t="str">
        <f>Dodge!I34</f>
        <v>Age Not Found</v>
      </c>
      <c r="H34" s="171" t="str">
        <f>Catch!J34</f>
        <v>Age Not Found</v>
      </c>
      <c r="I34" s="171" t="str">
        <f>'Overhand throw'!J34</f>
        <v>Age Not Found</v>
      </c>
      <c r="J34" s="171" t="str">
        <f>Kick!K34</f>
        <v>Age Not Found</v>
      </c>
      <c r="K34" s="171" t="str">
        <f>Punt!L34</f>
        <v>Age Not Found</v>
      </c>
      <c r="L34" s="171" t="str">
        <f>Bounce!I34</f>
        <v>Age Not Found</v>
      </c>
      <c r="M34" s="171" t="str">
        <f>'Two-handed strike'!L34</f>
        <v>Age Not Found</v>
      </c>
      <c r="N34" s="171" t="str">
        <f>'Forehand strike'!K34</f>
        <v>Age Not Found</v>
      </c>
      <c r="O34" s="171" t="str" cm="1">
        <f t="array" ref="O34">INDEX(D34:N34, _xlfn.MODE.SNGL(MATCH(D34:N34, D34:N34, 0)))</f>
        <v>Age Not Found</v>
      </c>
      <c r="P34" s="171" t="str" cm="1">
        <f t="array" ref="P34">INDEX(D34:G34, _xlfn.MODE.SNGL(MATCH(D34:G34, D34:G34, 0)))</f>
        <v>Age Not Found</v>
      </c>
      <c r="Q34" s="171" t="str" cm="1">
        <f t="array" ref="Q34">INDEX(H34:N34, _xlfn.MODE.SNGL(MATCH(H34:N34, H34:N34, 0)))</f>
        <v>Age Not Found</v>
      </c>
      <c r="R34" s="169" t="str">
        <f>Gymnastics!H34</f>
        <v>Age Not Found</v>
      </c>
      <c r="S34" s="172" t="str">
        <f>IFERROR(
    INDEX('ASTS 2+3'!$F$5:$I$100,
        MATCH(A34, 'ASTS 2+3'!$A$5:$A$100, 0),
        MATCH("Normative value if " &amp; C34 &amp; " years old", 'ASTS 2+3'!$F$4:$I$4, 0)),
    IFERROR(
        INDEX('ASTS 2+3'!$O$5:$R$100,
            MATCH(A34, 'ASTS 2+3'!$J$5:$J$100, 0),
            MATCH("Normative value if " &amp; C34 &amp; " years old", 'ASTS 2+3'!$O$4:$R$4, 0)),
    "Not Found"))</f>
        <v>Not Found</v>
      </c>
      <c r="T34" s="169" t="str" cm="1">
        <f t="array" ref="T34">IF(COUNTA(R34:S34)=0, "", INDEX(R34:S34, MATCH(MAX(COUNTIF(R34:S34, R34:S34)), COUNTIF(R34:S34, R34:S34), 0)))</f>
        <v>Age Not Found</v>
      </c>
      <c r="U34" s="169" t="str">
        <f>'Rock to stand'!L34</f>
        <v>Age Not Found</v>
      </c>
    </row>
    <row r="35" spans="1:21" ht="38.1" customHeight="1" thickBot="1" x14ac:dyDescent="0.3">
      <c r="A35" s="67"/>
      <c r="B35" s="127"/>
      <c r="C35" s="68"/>
      <c r="D35" s="71" t="str" cm="1">
        <f t="array" ref="D35">INDEX(D5:D34, _xlfn.MODE.SNGL(IF((D5:D34 &lt;&gt; "Age Not Found") * (D5:D34 &lt;&gt; "Error"), MATCH(D5:D34, D5:D34, 0))))</f>
        <v>Beginning</v>
      </c>
      <c r="E35" s="71" t="str" cm="1">
        <f t="array" ref="E35">INDEX(E5:E34, _xlfn.MODE.SNGL(IF((E5:E34 &lt;&gt; "Age Not Found") * (E5:E34 &lt;&gt; "Error"), MATCH(E5:E34, E5:E34, 0))))</f>
        <v>Beginning</v>
      </c>
      <c r="F35" s="71" t="str" cm="1">
        <f t="array" ref="F35">INDEX(F5:F34, _xlfn.MODE.SNGL(IF((F5:F34 &lt;&gt; "Age Not Found") * (F5:F34 &lt;&gt; "Error"), MATCH(F5:F34, F5:F34, 0))))</f>
        <v>Beginning</v>
      </c>
      <c r="G35" s="71" t="str" cm="1">
        <f t="array" ref="G35">INDEX(G5:G34, _xlfn.MODE.SNGL(IF((G5:G34 &lt;&gt; "Age Not Found") * (G5:G34 &lt;&gt; "Error"), MATCH(G5:G34, G5:G34, 0))))</f>
        <v>Beginning</v>
      </c>
      <c r="H35" s="71" t="str" cm="1">
        <f t="array" ref="H35">INDEX(H5:H34, _xlfn.MODE.SNGL(IF((H5:H34 &lt;&gt; "Age Not Found") * (H5:H34 &lt;&gt; "Error"), MATCH(H5:H34, H5:H34, 0))))</f>
        <v>Beginning</v>
      </c>
      <c r="I35" s="71" t="str" cm="1">
        <f t="array" ref="I35">INDEX(I5:I34, _xlfn.MODE.SNGL(IF((I5:I34 &lt;&gt; "Age Not Found") * (I5:I34 &lt;&gt; "Error"), MATCH(I5:I34, I5:I34, 0))))</f>
        <v>Beginning</v>
      </c>
      <c r="J35" s="71" t="str" cm="1">
        <f t="array" ref="J35">INDEX(J5:J34, _xlfn.MODE.SNGL(IF((J5:J34 &lt;&gt; "Age Not Found") * (J5:J34 &lt;&gt; "Error"), MATCH(J5:J34, J5:J34, 0))))</f>
        <v>Beginning</v>
      </c>
      <c r="K35" s="71" t="str" cm="1">
        <f t="array" ref="K35">INDEX(K5:K34, _xlfn.MODE.SNGL(IF((K5:K34 &lt;&gt; "Age Not Found") * (K5:K34 &lt;&gt; "Error"), MATCH(K5:K34, K5:K34, 0))))</f>
        <v>Beginning</v>
      </c>
      <c r="L35" s="71" t="str" cm="1">
        <f t="array" ref="L35">INDEX(L5:L34, _xlfn.MODE.SNGL(IF((L5:L34 &lt;&gt; "Age Not Found") * (L5:L34 &lt;&gt; "Error"), MATCH(L5:L34, L5:L34, 0))))</f>
        <v>Progressing</v>
      </c>
      <c r="M35" s="71" t="str" cm="1">
        <f t="array" ref="M35">INDEX(M5:M34, _xlfn.MODE.SNGL(IF((M5:M34 &lt;&gt; "Age Not Found") * (M5:M34 &lt;&gt; "Error"), MATCH(M5:M34, M5:M34, 0))))</f>
        <v>Beginning</v>
      </c>
      <c r="N35" s="71" t="str" cm="1">
        <f t="array" ref="N35">INDEX(N5:N34, _xlfn.MODE.SNGL(IF((N5:N34 &lt;&gt; "Age Not Found") * (N5:N34 &lt;&gt; "Error"), MATCH(N5:N34, N5:N34, 0))))</f>
        <v>Beginning</v>
      </c>
      <c r="O35" s="69" t="str" cm="1">
        <f t="array" ref="O35">INDEX(O5:O34, _xlfn.MODE.SNGL(IF((O5:O34 &lt;&gt; "Age Not Found") * (O5:O34 &lt;&gt; "Error"), MATCH(O5:O34, O5:O34, 0))))</f>
        <v>Beginning</v>
      </c>
      <c r="P35" s="69" t="str" cm="1">
        <f t="array" ref="P35">INDEX(P5:P34, _xlfn.MODE.SNGL(IF((P5:P34 &lt;&gt; "Age Not Found") * (P5:P34 &lt;&gt; "Error"), MATCH(P5:P34, P5:P34, 0))))</f>
        <v>Beginning</v>
      </c>
      <c r="Q35" s="70" t="str" cm="1">
        <f t="array" ref="Q35">INDEX(Q5:Q34, _xlfn.MODE.SNGL(IF((Q5:Q34 &lt;&gt; "Age Not Found") * (Q5:Q34 &lt;&gt; "Error"), MATCH(Q5:Q34, Q5:Q34, 0))))</f>
        <v>Beginning</v>
      </c>
      <c r="R35" s="70" t="str" cm="1">
        <f t="array" ref="R35">INDEX(R5:R34, _xlfn.MODE.SNGL(IF((R5:R34 &lt;&gt; "Age Not Found") * (R5:R34 &lt;&gt; "Error"), MATCH(R5:R34, R5:R34, 0))))</f>
        <v>Achieving</v>
      </c>
      <c r="S35" s="168" t="str" cm="1">
        <f t="array" ref="S35">INDEX(S6:S34, _xlfn.MODE.SNGL(IF((S6:S34 &lt;&gt; "Age Not Found") * (S6:S34 &lt;&gt; "Error"), MATCH(S6:S34, S6:S34, 0))))</f>
        <v>Progressing</v>
      </c>
      <c r="T35" s="167" t="str" cm="1">
        <f t="array" ref="T35">INDEX(T5:T34, _xlfn.MODE.SNGL(IF((T5:T34 &lt;&gt; "Age Not Found") * (T5:T34 &lt;&gt; "Error"), MATCH(T5:T34, T5:T34, 0))))</f>
        <v>Achieving</v>
      </c>
      <c r="U35" s="70" t="str" cm="1">
        <f t="array" ref="U35">INDEX(U5:U34, _xlfn.MODE.SNGL(IF((U5:U34 &lt;&gt; "Age Not Found") * (U5:U34 &lt;&gt; "Error"), MATCH(U5:U34, U5:U34, 0))))</f>
        <v>Beginning</v>
      </c>
    </row>
    <row r="36" spans="1:21" ht="15.6" x14ac:dyDescent="0.25">
      <c r="A36" s="65"/>
      <c r="B36" s="65"/>
      <c r="C36" s="65"/>
      <c r="D36" s="65"/>
      <c r="E36" s="65"/>
      <c r="F36" s="65"/>
      <c r="G36" s="65"/>
      <c r="H36" s="65"/>
      <c r="I36" s="65"/>
      <c r="J36" s="65"/>
      <c r="K36" s="65"/>
      <c r="L36" s="65"/>
      <c r="M36" s="65"/>
      <c r="N36" s="65"/>
      <c r="O36" s="65"/>
      <c r="P36" s="65"/>
      <c r="Q36" s="65"/>
    </row>
  </sheetData>
  <mergeCells count="14">
    <mergeCell ref="AA1:AC12"/>
    <mergeCell ref="V11:W13"/>
    <mergeCell ref="X11:Z13"/>
    <mergeCell ref="K1:N2"/>
    <mergeCell ref="O1:Q2"/>
    <mergeCell ref="R1:T2"/>
    <mergeCell ref="V3:W9"/>
    <mergeCell ref="U1:W2"/>
    <mergeCell ref="X3:Z9"/>
    <mergeCell ref="B3:U3"/>
    <mergeCell ref="A1:D2"/>
    <mergeCell ref="E1:G2"/>
    <mergeCell ref="H1:J2"/>
    <mergeCell ref="X1:Z2"/>
  </mergeCells>
  <conditionalFormatting sqref="A35:R35">
    <cfRule type="containsText" dxfId="250" priority="26" operator="containsText" text="Error">
      <formula>NOT(ISERROR(SEARCH("Error",A35)))</formula>
    </cfRule>
    <cfRule type="containsText" dxfId="249" priority="27" operator="containsText" text="Age Not Found">
      <formula>NOT(ISERROR(SEARCH("Age Not Found",A35)))</formula>
    </cfRule>
    <cfRule type="containsText" dxfId="248" priority="28" operator="containsText" text="Beginning">
      <formula>NOT(ISERROR(SEARCH("Beginning",A35)))</formula>
    </cfRule>
    <cfRule type="containsText" dxfId="247" priority="29" operator="containsText" text="Progressing">
      <formula>NOT(ISERROR(SEARCH("Progressing",A35)))</formula>
    </cfRule>
    <cfRule type="containsText" dxfId="246" priority="30" operator="containsText" text="Achieving">
      <formula>NOT(ISERROR(SEARCH("Achieving",A35)))</formula>
    </cfRule>
    <cfRule type="containsText" dxfId="245" priority="31" operator="containsText" text="Excelling">
      <formula>NOT(ISERROR(SEARCH("Excelling",A35)))</formula>
    </cfRule>
  </conditionalFormatting>
  <conditionalFormatting sqref="D5:R34">
    <cfRule type="containsText" dxfId="244" priority="20" operator="containsText" text="Error">
      <formula>NOT(ISERROR(SEARCH("Error",D5)))</formula>
    </cfRule>
    <cfRule type="containsText" dxfId="243" priority="21" operator="containsText" text="Age Not Found">
      <formula>NOT(ISERROR(SEARCH("Age Not Found",D5)))</formula>
    </cfRule>
    <cfRule type="containsText" dxfId="242" priority="22" operator="containsText" text="Beginning">
      <formula>NOT(ISERROR(SEARCH("Beginning",D5)))</formula>
    </cfRule>
    <cfRule type="containsText" dxfId="241" priority="23" operator="containsText" text="Progressing">
      <formula>NOT(ISERROR(SEARCH("Progressing",D5)))</formula>
    </cfRule>
    <cfRule type="containsText" dxfId="240" priority="24" operator="containsText" text="Achieving">
      <formula>NOT(ISERROR(SEARCH("Achieving",D5)))</formula>
    </cfRule>
    <cfRule type="containsText" dxfId="239" priority="25" operator="containsText" text="Excelling">
      <formula>NOT(ISERROR(SEARCH("Excelling",D5)))</formula>
    </cfRule>
  </conditionalFormatting>
  <conditionalFormatting sqref="S5:S35">
    <cfRule type="cellIs" dxfId="238" priority="1" operator="equal">
      <formula>"At Level"</formula>
    </cfRule>
  </conditionalFormatting>
  <conditionalFormatting sqref="S5:U35">
    <cfRule type="containsText" dxfId="237" priority="2" operator="containsText" text="Error">
      <formula>NOT(ISERROR(SEARCH("Error",S5)))</formula>
    </cfRule>
    <cfRule type="containsText" dxfId="236" priority="3" operator="containsText" text="Age Not Found">
      <formula>NOT(ISERROR(SEARCH("Age Not Found",S5)))</formula>
    </cfRule>
    <cfRule type="containsText" dxfId="235" priority="4" operator="containsText" text="Beginning">
      <formula>NOT(ISERROR(SEARCH("Beginning",S5)))</formula>
    </cfRule>
    <cfRule type="containsText" dxfId="234" priority="5" operator="containsText" text="Progressing">
      <formula>NOT(ISERROR(SEARCH("Progressing",S5)))</formula>
    </cfRule>
    <cfRule type="containsText" dxfId="233" priority="6" operator="containsText" text="Achieving">
      <formula>NOT(ISERROR(SEARCH("Achieving",S5)))</formula>
    </cfRule>
    <cfRule type="containsText" dxfId="232" priority="7" operator="containsText" text="Excelling">
      <formula>NOT(ISERROR(SEARCH("Excelling",S5)))</formula>
    </cfRule>
  </conditionalFormatting>
  <hyperlinks>
    <hyperlink ref="X3:Z9" r:id="rId1" display="https://forms.gle/E27JKz9asjfuq78NA" xr:uid="{B58692F9-EEE5-4B1E-BBD5-74ABE05505F3}"/>
    <hyperlink ref="X11:Z13" r:id="rId2" display="buymeacoffee.com/robkennedy" xr:uid="{70126C45-BFA2-48E9-9A9A-8372F5B9FF4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4351" r:id="rId6" name="Button 15">
              <controlPr defaultSize="0" print="0" autoFill="0" autoPict="0" macro="[0]!ExportClassToWholeSchool">
                <anchor moveWithCells="1">
                  <from>
                    <xdr:col>6</xdr:col>
                    <xdr:colOff>121920</xdr:colOff>
                    <xdr:row>2</xdr:row>
                    <xdr:rowOff>45720</xdr:rowOff>
                  </from>
                  <to>
                    <xdr:col>8</xdr:col>
                    <xdr:colOff>198120</xdr:colOff>
                    <xdr:row>2</xdr:row>
                    <xdr:rowOff>510540</xdr:rowOff>
                  </to>
                </anchor>
              </controlPr>
            </control>
          </mc:Choice>
        </mc:AlternateContent>
        <mc:AlternateContent xmlns:mc="http://schemas.openxmlformats.org/markup-compatibility/2006">
          <mc:Choice Requires="x14">
            <control shapeId="14353" r:id="rId7" name="Button 17">
              <controlPr defaultSize="0" print="0" autoFill="0" autoPict="0" macro="[0]!UpdateClassListFromCSV">
                <anchor moveWithCells="1" sizeWithCells="1">
                  <from>
                    <xdr:col>1</xdr:col>
                    <xdr:colOff>83820</xdr:colOff>
                    <xdr:row>2</xdr:row>
                    <xdr:rowOff>68580</xdr:rowOff>
                  </from>
                  <to>
                    <xdr:col>3</xdr:col>
                    <xdr:colOff>708660</xdr:colOff>
                    <xdr:row>2</xdr:row>
                    <xdr:rowOff>533400</xdr:rowOff>
                  </to>
                </anchor>
              </controlPr>
            </control>
          </mc:Choice>
        </mc:AlternateContent>
        <mc:AlternateContent xmlns:mc="http://schemas.openxmlformats.org/markup-compatibility/2006">
          <mc:Choice Requires="x14">
            <control shapeId="14354" r:id="rId8" name="Button 18">
              <controlPr defaultSize="0" print="0" autoFill="0" autoPict="0" macro="[0]!Module5.ImportStudentDataFromWholeSchool">
                <anchor moveWithCells="1" sizeWithCells="1">
                  <from>
                    <xdr:col>3</xdr:col>
                    <xdr:colOff>800100</xdr:colOff>
                    <xdr:row>2</xdr:row>
                    <xdr:rowOff>53340</xdr:rowOff>
                  </from>
                  <to>
                    <xdr:col>6</xdr:col>
                    <xdr:colOff>15240</xdr:colOff>
                    <xdr:row>2</xdr:row>
                    <xdr:rowOff>518160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outlinePr summaryBelow="0" summaryRight="0"/>
  </sheetPr>
  <dimension ref="A1:R52"/>
  <sheetViews>
    <sheetView showGridLines="0" zoomScale="40" zoomScaleNormal="40" workbookViewId="0">
      <pane xSplit="1" ySplit="3" topLeftCell="B4" activePane="bottomRight" state="frozen"/>
      <selection activeCell="I5" sqref="I5:I34"/>
      <selection pane="topRight" activeCell="I5" sqref="I5:I34"/>
      <selection pane="bottomLeft" activeCell="I5" sqref="I5:I34"/>
      <selection pane="bottomRight" activeCell="T29" sqref="T29"/>
    </sheetView>
  </sheetViews>
  <sheetFormatPr defaultColWidth="12.5546875" defaultRowHeight="15.75" customHeight="1" x14ac:dyDescent="0.25"/>
  <cols>
    <col min="1" max="1" width="27" customWidth="1"/>
    <col min="2" max="6" width="27.21875" customWidth="1"/>
    <col min="7" max="7" width="20.109375" customWidth="1"/>
    <col min="9" max="9" width="14.33203125" customWidth="1"/>
    <col min="18" max="18" width="23.21875" customWidth="1"/>
  </cols>
  <sheetData>
    <row r="1" spans="1:18" ht="28.2" customHeight="1" thickTop="1" thickBot="1" x14ac:dyDescent="0.8">
      <c r="A1" s="312" t="s">
        <v>6</v>
      </c>
      <c r="B1" s="313"/>
      <c r="C1" s="313"/>
      <c r="D1" s="313"/>
      <c r="E1" s="313"/>
      <c r="F1" s="313"/>
      <c r="G1" s="313"/>
      <c r="H1" s="313"/>
      <c r="I1" s="314"/>
      <c r="J1" s="306"/>
      <c r="K1" s="315" t="s">
        <v>20</v>
      </c>
      <c r="L1" s="316"/>
      <c r="M1" s="316"/>
      <c r="N1" s="316"/>
      <c r="O1" s="316"/>
      <c r="P1" s="316"/>
      <c r="Q1" s="316"/>
      <c r="R1" s="317"/>
    </row>
    <row r="2" spans="1:18" ht="39.6" customHeight="1" thickTop="1" thickBot="1" x14ac:dyDescent="0.55000000000000004">
      <c r="A2" s="190" t="s">
        <v>21</v>
      </c>
      <c r="B2" s="331" t="s">
        <v>22</v>
      </c>
      <c r="C2" s="332"/>
      <c r="D2" s="332"/>
      <c r="E2" s="333"/>
      <c r="F2" s="331" t="s">
        <v>23</v>
      </c>
      <c r="G2" s="332"/>
      <c r="H2" s="332"/>
      <c r="I2" s="333"/>
      <c r="J2" s="306"/>
      <c r="K2" s="318" t="s">
        <v>24</v>
      </c>
      <c r="L2" s="319"/>
      <c r="M2" s="319"/>
      <c r="N2" s="320"/>
      <c r="O2" s="321"/>
      <c r="P2" s="322"/>
      <c r="Q2" s="322"/>
      <c r="R2" s="323"/>
    </row>
    <row r="3" spans="1:18" ht="39.6" customHeight="1" thickTop="1" thickBot="1" x14ac:dyDescent="0.3">
      <c r="A3" s="196" t="s">
        <v>25</v>
      </c>
      <c r="B3" s="26" t="s">
        <v>26</v>
      </c>
      <c r="C3" s="21" t="s">
        <v>27</v>
      </c>
      <c r="D3" s="20" t="s">
        <v>28</v>
      </c>
      <c r="E3" s="19" t="s">
        <v>29</v>
      </c>
      <c r="F3" s="17" t="s">
        <v>30</v>
      </c>
      <c r="G3" s="2" t="s">
        <v>5</v>
      </c>
      <c r="H3" s="3" t="s">
        <v>31</v>
      </c>
      <c r="I3" s="4" t="s">
        <v>32</v>
      </c>
      <c r="J3" s="306"/>
      <c r="K3" s="305"/>
      <c r="L3" s="306"/>
      <c r="M3" s="306"/>
      <c r="N3" s="306"/>
      <c r="O3" s="306"/>
      <c r="P3" s="306"/>
      <c r="Q3" s="306"/>
      <c r="R3" s="307"/>
    </row>
    <row r="4" spans="1:18" ht="13.05" customHeight="1" thickTop="1" x14ac:dyDescent="0.25">
      <c r="A4" s="189" t="s">
        <v>33</v>
      </c>
      <c r="B4" s="27">
        <v>5</v>
      </c>
      <c r="C4" s="28">
        <v>6</v>
      </c>
      <c r="D4" s="29">
        <v>7</v>
      </c>
      <c r="E4" s="30">
        <v>8</v>
      </c>
      <c r="F4" s="31">
        <v>9</v>
      </c>
      <c r="G4" s="2"/>
      <c r="H4" s="22"/>
      <c r="I4" s="23"/>
      <c r="J4" s="306"/>
      <c r="K4" s="308"/>
      <c r="L4" s="306"/>
      <c r="M4" s="306"/>
      <c r="N4" s="306"/>
      <c r="O4" s="306"/>
      <c r="P4" s="306"/>
      <c r="Q4" s="306"/>
      <c r="R4" s="307"/>
    </row>
    <row r="5" spans="1:18" ht="30.6" customHeight="1" x14ac:dyDescent="0.25">
      <c r="A5" s="198" t="str">
        <f>'Class List'!A5</f>
        <v>Student</v>
      </c>
      <c r="B5" s="199">
        <v>1</v>
      </c>
      <c r="C5" s="200">
        <v>1</v>
      </c>
      <c r="D5" s="200">
        <v>1</v>
      </c>
      <c r="E5" s="200">
        <v>1</v>
      </c>
      <c r="F5" s="200">
        <v>1</v>
      </c>
      <c r="G5" s="197">
        <f>'Class List'!$C5</f>
        <v>9</v>
      </c>
      <c r="H5" s="194">
        <f t="shared" ref="H5:H34" si="0">SUM(B5:F5)</f>
        <v>5</v>
      </c>
      <c r="I5" s="195" t="str">
        <f t="shared" ref="I5:I34" si="1">IFERROR(
   IF(H5 &lt;= INDEX($B$36:$B$46, MATCH(G5, $A$36:$A$46, 0)), "Beginning",
      IF(H5 &lt;= INDEX($C$36:$C$46, MATCH(G5, $A$36:$A$46, 0)), "Progressing",
         IF(H5 &lt;= INDEX($D$36:$D$46, MATCH(G5, $A$36:$A$46, 0)), "Achieving",
            IF(H5 &gt;= INDEX($E$36:$E$46, MATCH(G5, $A$36:$A$46, 0)), "Excelling", "Error")))),
   "Age Not Found")</f>
        <v>Achieving</v>
      </c>
      <c r="J5" s="306"/>
      <c r="K5" s="308"/>
      <c r="L5" s="306"/>
      <c r="M5" s="306"/>
      <c r="N5" s="306"/>
      <c r="O5" s="306"/>
      <c r="P5" s="306"/>
      <c r="Q5" s="306"/>
      <c r="R5" s="307"/>
    </row>
    <row r="6" spans="1:18" ht="30.6" customHeight="1" x14ac:dyDescent="0.25">
      <c r="A6" s="198" t="str">
        <f>'Class List'!A6</f>
        <v>Student</v>
      </c>
      <c r="B6" s="201">
        <v>0</v>
      </c>
      <c r="C6" s="202">
        <v>0</v>
      </c>
      <c r="D6" s="202">
        <v>0</v>
      </c>
      <c r="E6" s="202">
        <v>0</v>
      </c>
      <c r="F6" s="202">
        <v>0</v>
      </c>
      <c r="G6" s="197">
        <f>'Class List'!$C6</f>
        <v>10</v>
      </c>
      <c r="H6" s="194">
        <f t="shared" si="0"/>
        <v>0</v>
      </c>
      <c r="I6" s="195" t="str">
        <f t="shared" si="1"/>
        <v>Beginning</v>
      </c>
      <c r="J6" s="306"/>
      <c r="K6" s="308"/>
      <c r="L6" s="306"/>
      <c r="M6" s="306"/>
      <c r="N6" s="306"/>
      <c r="O6" s="306"/>
      <c r="P6" s="306"/>
      <c r="Q6" s="306"/>
      <c r="R6" s="307"/>
    </row>
    <row r="7" spans="1:18" ht="30.6" customHeight="1" x14ac:dyDescent="0.25">
      <c r="A7" s="198" t="str">
        <f>'Class List'!A7</f>
        <v>Student</v>
      </c>
      <c r="B7" s="201">
        <v>0</v>
      </c>
      <c r="C7" s="202">
        <v>0</v>
      </c>
      <c r="D7" s="202">
        <v>0</v>
      </c>
      <c r="E7" s="202">
        <v>0</v>
      </c>
      <c r="F7" s="202">
        <v>0</v>
      </c>
      <c r="G7" s="197">
        <f>'Class List'!$C7</f>
        <v>9</v>
      </c>
      <c r="H7" s="194">
        <f t="shared" si="0"/>
        <v>0</v>
      </c>
      <c r="I7" s="195" t="str">
        <f t="shared" si="1"/>
        <v>Beginning</v>
      </c>
      <c r="J7" s="306"/>
      <c r="K7" s="308"/>
      <c r="L7" s="306"/>
      <c r="M7" s="306"/>
      <c r="N7" s="306"/>
      <c r="O7" s="306"/>
      <c r="P7" s="306"/>
      <c r="Q7" s="306"/>
      <c r="R7" s="307"/>
    </row>
    <row r="8" spans="1:18" ht="30.6" customHeight="1" x14ac:dyDescent="0.25">
      <c r="A8" s="198" t="str">
        <f>'Class List'!A8</f>
        <v>Student</v>
      </c>
      <c r="B8" s="201">
        <v>0</v>
      </c>
      <c r="C8" s="202">
        <v>0</v>
      </c>
      <c r="D8" s="202">
        <v>0</v>
      </c>
      <c r="E8" s="202">
        <v>0</v>
      </c>
      <c r="F8" s="202">
        <v>0</v>
      </c>
      <c r="G8" s="197">
        <f>'Class List'!$C8</f>
        <v>10</v>
      </c>
      <c r="H8" s="194">
        <f t="shared" si="0"/>
        <v>0</v>
      </c>
      <c r="I8" s="195" t="str">
        <f t="shared" si="1"/>
        <v>Beginning</v>
      </c>
      <c r="J8" s="306"/>
      <c r="K8" s="308"/>
      <c r="L8" s="306"/>
      <c r="M8" s="306"/>
      <c r="N8" s="306"/>
      <c r="O8" s="306"/>
      <c r="P8" s="306"/>
      <c r="Q8" s="306"/>
      <c r="R8" s="307"/>
    </row>
    <row r="9" spans="1:18" ht="30.6" customHeight="1" x14ac:dyDescent="0.25">
      <c r="A9" s="198" t="str">
        <f>'Class List'!A9</f>
        <v>Student</v>
      </c>
      <c r="B9" s="201">
        <v>0</v>
      </c>
      <c r="C9" s="202">
        <v>0</v>
      </c>
      <c r="D9" s="202">
        <v>0</v>
      </c>
      <c r="E9" s="202">
        <v>0</v>
      </c>
      <c r="F9" s="202">
        <v>0</v>
      </c>
      <c r="G9" s="197">
        <f>'Class List'!$C9</f>
        <v>10</v>
      </c>
      <c r="H9" s="194">
        <f t="shared" si="0"/>
        <v>0</v>
      </c>
      <c r="I9" s="195" t="str">
        <f t="shared" si="1"/>
        <v>Beginning</v>
      </c>
      <c r="J9" s="306"/>
      <c r="K9" s="308"/>
      <c r="L9" s="306"/>
      <c r="M9" s="306"/>
      <c r="N9" s="306"/>
      <c r="O9" s="306"/>
      <c r="P9" s="306"/>
      <c r="Q9" s="306"/>
      <c r="R9" s="307"/>
    </row>
    <row r="10" spans="1:18" ht="30.6" customHeight="1" x14ac:dyDescent="0.25">
      <c r="A10" s="198" t="str">
        <f>'Class List'!A10</f>
        <v>Student</v>
      </c>
      <c r="B10" s="201">
        <v>0</v>
      </c>
      <c r="C10" s="202">
        <v>0</v>
      </c>
      <c r="D10" s="202">
        <v>0</v>
      </c>
      <c r="E10" s="202">
        <v>0</v>
      </c>
      <c r="F10" s="202">
        <v>0</v>
      </c>
      <c r="G10" s="197">
        <f>'Class List'!$C10</f>
        <v>10</v>
      </c>
      <c r="H10" s="194">
        <f t="shared" si="0"/>
        <v>0</v>
      </c>
      <c r="I10" s="195" t="str">
        <f t="shared" si="1"/>
        <v>Beginning</v>
      </c>
      <c r="J10" s="306"/>
      <c r="K10" s="308"/>
      <c r="L10" s="306"/>
      <c r="M10" s="306"/>
      <c r="N10" s="306"/>
      <c r="O10" s="306"/>
      <c r="P10" s="306"/>
      <c r="Q10" s="306"/>
      <c r="R10" s="307"/>
    </row>
    <row r="11" spans="1:18" ht="30.6" customHeight="1" x14ac:dyDescent="0.25">
      <c r="A11" s="198" t="str">
        <f>'Class List'!A11</f>
        <v>Student</v>
      </c>
      <c r="B11" s="201">
        <v>0</v>
      </c>
      <c r="C11" s="202">
        <v>0</v>
      </c>
      <c r="D11" s="202">
        <v>0</v>
      </c>
      <c r="E11" s="202">
        <v>0</v>
      </c>
      <c r="F11" s="202">
        <v>0</v>
      </c>
      <c r="G11" s="197">
        <f>'Class List'!$C11</f>
        <v>9</v>
      </c>
      <c r="H11" s="194">
        <f t="shared" si="0"/>
        <v>0</v>
      </c>
      <c r="I11" s="195" t="str">
        <f t="shared" si="1"/>
        <v>Beginning</v>
      </c>
      <c r="J11" s="306"/>
      <c r="K11" s="308"/>
      <c r="L11" s="306"/>
      <c r="M11" s="306"/>
      <c r="N11" s="306"/>
      <c r="O11" s="306"/>
      <c r="P11" s="306"/>
      <c r="Q11" s="306"/>
      <c r="R11" s="307"/>
    </row>
    <row r="12" spans="1:18" ht="30.6" customHeight="1" x14ac:dyDescent="0.25">
      <c r="A12" s="198" t="str">
        <f>'Class List'!A12</f>
        <v>Student</v>
      </c>
      <c r="B12" s="201">
        <v>0</v>
      </c>
      <c r="C12" s="202">
        <v>0</v>
      </c>
      <c r="D12" s="202">
        <v>0</v>
      </c>
      <c r="E12" s="202">
        <v>0</v>
      </c>
      <c r="F12" s="202">
        <v>0</v>
      </c>
      <c r="G12" s="197">
        <f>'Class List'!$C12</f>
        <v>9</v>
      </c>
      <c r="H12" s="194">
        <f t="shared" si="0"/>
        <v>0</v>
      </c>
      <c r="I12" s="195" t="str">
        <f t="shared" si="1"/>
        <v>Beginning</v>
      </c>
      <c r="J12" s="306"/>
      <c r="K12" s="308"/>
      <c r="L12" s="306"/>
      <c r="M12" s="306"/>
      <c r="N12" s="306"/>
      <c r="O12" s="306"/>
      <c r="P12" s="306"/>
      <c r="Q12" s="306"/>
      <c r="R12" s="307"/>
    </row>
    <row r="13" spans="1:18" ht="30.6" customHeight="1" x14ac:dyDescent="0.25">
      <c r="A13" s="198" t="str">
        <f>'Class List'!A13</f>
        <v>Student</v>
      </c>
      <c r="B13" s="201">
        <v>0</v>
      </c>
      <c r="C13" s="202">
        <v>0</v>
      </c>
      <c r="D13" s="202">
        <v>0</v>
      </c>
      <c r="E13" s="202">
        <v>0</v>
      </c>
      <c r="F13" s="202">
        <v>0</v>
      </c>
      <c r="G13" s="197">
        <f>'Class List'!$C13</f>
        <v>9</v>
      </c>
      <c r="H13" s="194">
        <f t="shared" si="0"/>
        <v>0</v>
      </c>
      <c r="I13" s="195" t="str">
        <f t="shared" si="1"/>
        <v>Beginning</v>
      </c>
      <c r="J13" s="306"/>
      <c r="K13" s="308"/>
      <c r="L13" s="306"/>
      <c r="M13" s="306"/>
      <c r="N13" s="306"/>
      <c r="O13" s="306"/>
      <c r="P13" s="306"/>
      <c r="Q13" s="306"/>
      <c r="R13" s="307"/>
    </row>
    <row r="14" spans="1:18" ht="30.6" customHeight="1" x14ac:dyDescent="0.25">
      <c r="A14" s="198" t="str">
        <f>'Class List'!A14</f>
        <v>Student</v>
      </c>
      <c r="B14" s="201">
        <v>0</v>
      </c>
      <c r="C14" s="202">
        <v>0</v>
      </c>
      <c r="D14" s="202">
        <v>0</v>
      </c>
      <c r="E14" s="202">
        <v>0</v>
      </c>
      <c r="F14" s="202">
        <v>0</v>
      </c>
      <c r="G14" s="197">
        <f>'Class List'!$C14</f>
        <v>9</v>
      </c>
      <c r="H14" s="194">
        <f t="shared" si="0"/>
        <v>0</v>
      </c>
      <c r="I14" s="195" t="str">
        <f t="shared" si="1"/>
        <v>Beginning</v>
      </c>
      <c r="J14" s="306"/>
      <c r="K14" s="308"/>
      <c r="L14" s="306"/>
      <c r="M14" s="306"/>
      <c r="N14" s="306"/>
      <c r="O14" s="306"/>
      <c r="P14" s="306"/>
      <c r="Q14" s="306"/>
      <c r="R14" s="307"/>
    </row>
    <row r="15" spans="1:18" ht="30.6" customHeight="1" x14ac:dyDescent="0.25">
      <c r="A15" s="198" t="str">
        <f>'Class List'!A15</f>
        <v>Student</v>
      </c>
      <c r="B15" s="201">
        <v>0</v>
      </c>
      <c r="C15" s="202">
        <v>0</v>
      </c>
      <c r="D15" s="202">
        <v>0</v>
      </c>
      <c r="E15" s="202">
        <v>0</v>
      </c>
      <c r="F15" s="202">
        <v>0</v>
      </c>
      <c r="G15" s="197">
        <f>'Class List'!$C15</f>
        <v>10</v>
      </c>
      <c r="H15" s="194">
        <f t="shared" si="0"/>
        <v>0</v>
      </c>
      <c r="I15" s="195" t="str">
        <f t="shared" si="1"/>
        <v>Beginning</v>
      </c>
      <c r="J15" s="306"/>
      <c r="K15" s="308"/>
      <c r="L15" s="306"/>
      <c r="M15" s="306"/>
      <c r="N15" s="306"/>
      <c r="O15" s="306"/>
      <c r="P15" s="306"/>
      <c r="Q15" s="306"/>
      <c r="R15" s="307"/>
    </row>
    <row r="16" spans="1:18" ht="30.6" customHeight="1" x14ac:dyDescent="0.25">
      <c r="A16" s="198" t="str">
        <f>'Class List'!A16</f>
        <v>Student</v>
      </c>
      <c r="B16" s="201">
        <v>0</v>
      </c>
      <c r="C16" s="202">
        <v>0</v>
      </c>
      <c r="D16" s="202">
        <v>0</v>
      </c>
      <c r="E16" s="202">
        <v>0</v>
      </c>
      <c r="F16" s="202">
        <v>0</v>
      </c>
      <c r="G16" s="197">
        <f>'Class List'!$C16</f>
        <v>9</v>
      </c>
      <c r="H16" s="194">
        <f t="shared" si="0"/>
        <v>0</v>
      </c>
      <c r="I16" s="195" t="str">
        <f t="shared" si="1"/>
        <v>Beginning</v>
      </c>
      <c r="J16" s="306"/>
      <c r="K16" s="308"/>
      <c r="L16" s="306"/>
      <c r="M16" s="306"/>
      <c r="N16" s="306"/>
      <c r="O16" s="306"/>
      <c r="P16" s="306"/>
      <c r="Q16" s="306"/>
      <c r="R16" s="307"/>
    </row>
    <row r="17" spans="1:18" ht="30.6" customHeight="1" x14ac:dyDescent="0.25">
      <c r="A17" s="198" t="str">
        <f>'Class List'!A17</f>
        <v>Student</v>
      </c>
      <c r="B17" s="201">
        <v>0</v>
      </c>
      <c r="C17" s="202">
        <v>0</v>
      </c>
      <c r="D17" s="202">
        <v>0</v>
      </c>
      <c r="E17" s="202">
        <v>0</v>
      </c>
      <c r="F17" s="202">
        <v>0</v>
      </c>
      <c r="G17" s="197">
        <f>'Class List'!$C17</f>
        <v>9</v>
      </c>
      <c r="H17" s="194">
        <f t="shared" si="0"/>
        <v>0</v>
      </c>
      <c r="I17" s="195" t="str">
        <f t="shared" si="1"/>
        <v>Beginning</v>
      </c>
      <c r="J17" s="306"/>
      <c r="K17" s="308"/>
      <c r="L17" s="306"/>
      <c r="M17" s="306"/>
      <c r="N17" s="306"/>
      <c r="O17" s="306"/>
      <c r="P17" s="306"/>
      <c r="Q17" s="306"/>
      <c r="R17" s="307"/>
    </row>
    <row r="18" spans="1:18" ht="30.6" customHeight="1" x14ac:dyDescent="0.25">
      <c r="A18" s="198" t="str">
        <f>'Class List'!A18</f>
        <v>Student</v>
      </c>
      <c r="B18" s="201">
        <v>0</v>
      </c>
      <c r="C18" s="202">
        <v>0</v>
      </c>
      <c r="D18" s="202">
        <v>0</v>
      </c>
      <c r="E18" s="202">
        <v>0</v>
      </c>
      <c r="F18" s="202">
        <v>0</v>
      </c>
      <c r="G18" s="197">
        <f>'Class List'!$C18</f>
        <v>10</v>
      </c>
      <c r="H18" s="194">
        <f t="shared" si="0"/>
        <v>0</v>
      </c>
      <c r="I18" s="195" t="str">
        <f t="shared" si="1"/>
        <v>Beginning</v>
      </c>
      <c r="J18" s="306"/>
      <c r="K18" s="308"/>
      <c r="L18" s="306"/>
      <c r="M18" s="306"/>
      <c r="N18" s="306"/>
      <c r="O18" s="306"/>
      <c r="P18" s="306"/>
      <c r="Q18" s="306"/>
      <c r="R18" s="307"/>
    </row>
    <row r="19" spans="1:18" ht="30.6" customHeight="1" x14ac:dyDescent="0.25">
      <c r="A19" s="198" t="str">
        <f>'Class List'!A19</f>
        <v>Student</v>
      </c>
      <c r="B19" s="201">
        <v>0</v>
      </c>
      <c r="C19" s="202">
        <v>0</v>
      </c>
      <c r="D19" s="202">
        <v>0</v>
      </c>
      <c r="E19" s="202">
        <v>0</v>
      </c>
      <c r="F19" s="202">
        <v>0</v>
      </c>
      <c r="G19" s="197">
        <f>'Class List'!$C19</f>
        <v>10</v>
      </c>
      <c r="H19" s="194">
        <f t="shared" si="0"/>
        <v>0</v>
      </c>
      <c r="I19" s="195" t="str">
        <f t="shared" si="1"/>
        <v>Beginning</v>
      </c>
      <c r="J19" s="306"/>
      <c r="K19" s="308"/>
      <c r="L19" s="306"/>
      <c r="M19" s="306"/>
      <c r="N19" s="306"/>
      <c r="O19" s="306"/>
      <c r="P19" s="306"/>
      <c r="Q19" s="306"/>
      <c r="R19" s="307"/>
    </row>
    <row r="20" spans="1:18" ht="30.6" customHeight="1" x14ac:dyDescent="0.25">
      <c r="A20" s="198" t="str">
        <f>'Class List'!A20</f>
        <v>Student</v>
      </c>
      <c r="B20" s="201">
        <v>0</v>
      </c>
      <c r="C20" s="202">
        <v>0</v>
      </c>
      <c r="D20" s="202">
        <v>0</v>
      </c>
      <c r="E20" s="202">
        <v>0</v>
      </c>
      <c r="F20" s="202">
        <v>0</v>
      </c>
      <c r="G20" s="197">
        <f>'Class List'!$C20</f>
        <v>10</v>
      </c>
      <c r="H20" s="194">
        <f t="shared" si="0"/>
        <v>0</v>
      </c>
      <c r="I20" s="195" t="str">
        <f t="shared" si="1"/>
        <v>Beginning</v>
      </c>
      <c r="J20" s="306"/>
      <c r="K20" s="308"/>
      <c r="L20" s="306"/>
      <c r="M20" s="306"/>
      <c r="N20" s="306"/>
      <c r="O20" s="306"/>
      <c r="P20" s="306"/>
      <c r="Q20" s="306"/>
      <c r="R20" s="307"/>
    </row>
    <row r="21" spans="1:18" ht="30.6" customHeight="1" x14ac:dyDescent="0.25">
      <c r="A21" s="198" t="str">
        <f>'Class List'!A21</f>
        <v>Student</v>
      </c>
      <c r="B21" s="201">
        <v>0</v>
      </c>
      <c r="C21" s="202">
        <v>0</v>
      </c>
      <c r="D21" s="202">
        <v>0</v>
      </c>
      <c r="E21" s="202">
        <v>0</v>
      </c>
      <c r="F21" s="202">
        <v>0</v>
      </c>
      <c r="G21" s="197">
        <f>'Class List'!$C21</f>
        <v>9</v>
      </c>
      <c r="H21" s="194">
        <f t="shared" si="0"/>
        <v>0</v>
      </c>
      <c r="I21" s="195" t="str">
        <f t="shared" si="1"/>
        <v>Beginning</v>
      </c>
      <c r="J21" s="306"/>
      <c r="K21" s="308"/>
      <c r="L21" s="306"/>
      <c r="M21" s="306"/>
      <c r="N21" s="306"/>
      <c r="O21" s="306"/>
      <c r="P21" s="306"/>
      <c r="Q21" s="306"/>
      <c r="R21" s="307"/>
    </row>
    <row r="22" spans="1:18" ht="30.6" customHeight="1" x14ac:dyDescent="0.25">
      <c r="A22" s="198" t="str">
        <f>'Class List'!A22</f>
        <v>Student</v>
      </c>
      <c r="B22" s="201">
        <v>0</v>
      </c>
      <c r="C22" s="202">
        <v>0</v>
      </c>
      <c r="D22" s="202">
        <v>0</v>
      </c>
      <c r="E22" s="202">
        <v>0</v>
      </c>
      <c r="F22" s="202">
        <v>0</v>
      </c>
      <c r="G22" s="197">
        <f>'Class List'!$C22</f>
        <v>10</v>
      </c>
      <c r="H22" s="194">
        <f t="shared" si="0"/>
        <v>0</v>
      </c>
      <c r="I22" s="195" t="str">
        <f t="shared" si="1"/>
        <v>Beginning</v>
      </c>
      <c r="J22" s="306"/>
      <c r="K22" s="308"/>
      <c r="L22" s="306"/>
      <c r="M22" s="306"/>
      <c r="N22" s="306"/>
      <c r="O22" s="306"/>
      <c r="P22" s="306"/>
      <c r="Q22" s="306"/>
      <c r="R22" s="307"/>
    </row>
    <row r="23" spans="1:18" ht="30.6" customHeight="1" x14ac:dyDescent="0.25">
      <c r="A23" s="198" t="str">
        <f>'Class List'!A23</f>
        <v>Student</v>
      </c>
      <c r="B23" s="201">
        <v>0</v>
      </c>
      <c r="C23" s="202">
        <v>0</v>
      </c>
      <c r="D23" s="202">
        <v>0</v>
      </c>
      <c r="E23" s="202">
        <v>0</v>
      </c>
      <c r="F23" s="202">
        <v>0</v>
      </c>
      <c r="G23" s="197">
        <f>'Class List'!$C23</f>
        <v>10</v>
      </c>
      <c r="H23" s="194">
        <f t="shared" si="0"/>
        <v>0</v>
      </c>
      <c r="I23" s="195" t="str">
        <f t="shared" si="1"/>
        <v>Beginning</v>
      </c>
      <c r="J23" s="306"/>
      <c r="K23" s="308"/>
      <c r="L23" s="306"/>
      <c r="M23" s="306"/>
      <c r="N23" s="306"/>
      <c r="O23" s="306"/>
      <c r="P23" s="306"/>
      <c r="Q23" s="306"/>
      <c r="R23" s="307"/>
    </row>
    <row r="24" spans="1:18" ht="30.6" customHeight="1" x14ac:dyDescent="0.25">
      <c r="A24" s="198" t="str">
        <f>'Class List'!A24</f>
        <v>Student</v>
      </c>
      <c r="B24" s="201">
        <v>0</v>
      </c>
      <c r="C24" s="202">
        <v>0</v>
      </c>
      <c r="D24" s="202">
        <v>0</v>
      </c>
      <c r="E24" s="202">
        <v>0</v>
      </c>
      <c r="F24" s="202">
        <v>0</v>
      </c>
      <c r="G24" s="197">
        <f>'Class List'!$C24</f>
        <v>9</v>
      </c>
      <c r="H24" s="194">
        <f t="shared" si="0"/>
        <v>0</v>
      </c>
      <c r="I24" s="195" t="str">
        <f t="shared" si="1"/>
        <v>Beginning</v>
      </c>
      <c r="J24" s="306"/>
      <c r="K24" s="308"/>
      <c r="L24" s="306"/>
      <c r="M24" s="306"/>
      <c r="N24" s="306"/>
      <c r="O24" s="306"/>
      <c r="P24" s="306"/>
      <c r="Q24" s="306"/>
      <c r="R24" s="307"/>
    </row>
    <row r="25" spans="1:18" ht="30.6" customHeight="1" x14ac:dyDescent="0.25">
      <c r="A25" s="198" t="str">
        <f>'Class List'!A25</f>
        <v>Student</v>
      </c>
      <c r="B25" s="201">
        <v>0</v>
      </c>
      <c r="C25" s="202">
        <v>0</v>
      </c>
      <c r="D25" s="202">
        <v>0</v>
      </c>
      <c r="E25" s="202">
        <v>0</v>
      </c>
      <c r="F25" s="202">
        <v>0</v>
      </c>
      <c r="G25" s="197">
        <f>'Class List'!$C25</f>
        <v>10</v>
      </c>
      <c r="H25" s="194">
        <f t="shared" si="0"/>
        <v>0</v>
      </c>
      <c r="I25" s="195" t="str">
        <f t="shared" si="1"/>
        <v>Beginning</v>
      </c>
      <c r="J25" s="306"/>
      <c r="K25" s="308"/>
      <c r="L25" s="306"/>
      <c r="M25" s="306"/>
      <c r="N25" s="306"/>
      <c r="O25" s="306"/>
      <c r="P25" s="306"/>
      <c r="Q25" s="306"/>
      <c r="R25" s="307"/>
    </row>
    <row r="26" spans="1:18" ht="30.6" customHeight="1" x14ac:dyDescent="0.25">
      <c r="A26" s="198" t="str">
        <f>'Class List'!A26</f>
        <v>Student</v>
      </c>
      <c r="B26" s="201">
        <v>0</v>
      </c>
      <c r="C26" s="202">
        <v>0</v>
      </c>
      <c r="D26" s="202">
        <v>0</v>
      </c>
      <c r="E26" s="202">
        <v>0</v>
      </c>
      <c r="F26" s="202">
        <v>0</v>
      </c>
      <c r="G26" s="197">
        <f>'Class List'!$C26</f>
        <v>10</v>
      </c>
      <c r="H26" s="194">
        <f t="shared" si="0"/>
        <v>0</v>
      </c>
      <c r="I26" s="195" t="str">
        <f t="shared" si="1"/>
        <v>Beginning</v>
      </c>
      <c r="J26" s="306"/>
      <c r="K26" s="308"/>
      <c r="L26" s="306"/>
      <c r="M26" s="306"/>
      <c r="N26" s="306"/>
      <c r="O26" s="306"/>
      <c r="P26" s="306"/>
      <c r="Q26" s="306"/>
      <c r="R26" s="307"/>
    </row>
    <row r="27" spans="1:18" ht="30.6" customHeight="1" x14ac:dyDescent="0.25">
      <c r="A27" s="198" t="str">
        <f>'Class List'!A27</f>
        <v>Student</v>
      </c>
      <c r="B27" s="201">
        <v>0</v>
      </c>
      <c r="C27" s="202">
        <v>0</v>
      </c>
      <c r="D27" s="202">
        <v>0</v>
      </c>
      <c r="E27" s="202">
        <v>0</v>
      </c>
      <c r="F27" s="202">
        <v>0</v>
      </c>
      <c r="G27" s="197">
        <f>'Class List'!$C27</f>
        <v>9</v>
      </c>
      <c r="H27" s="194">
        <f t="shared" si="0"/>
        <v>0</v>
      </c>
      <c r="I27" s="195" t="str">
        <f t="shared" si="1"/>
        <v>Beginning</v>
      </c>
      <c r="J27" s="306"/>
      <c r="K27" s="308"/>
      <c r="L27" s="306"/>
      <c r="M27" s="306"/>
      <c r="N27" s="306"/>
      <c r="O27" s="306"/>
      <c r="P27" s="306"/>
      <c r="Q27" s="306"/>
      <c r="R27" s="307"/>
    </row>
    <row r="28" spans="1:18" ht="30.6" customHeight="1" x14ac:dyDescent="0.25">
      <c r="A28" s="198" t="str">
        <f>'Class List'!A28</f>
        <v>Student</v>
      </c>
      <c r="B28" s="201">
        <v>0</v>
      </c>
      <c r="C28" s="202">
        <v>0</v>
      </c>
      <c r="D28" s="202">
        <v>0</v>
      </c>
      <c r="E28" s="202">
        <v>0</v>
      </c>
      <c r="F28" s="202">
        <v>0</v>
      </c>
      <c r="G28" s="197">
        <f>'Class List'!$C28</f>
        <v>9</v>
      </c>
      <c r="H28" s="194">
        <f t="shared" si="0"/>
        <v>0</v>
      </c>
      <c r="I28" s="195" t="str">
        <f t="shared" si="1"/>
        <v>Beginning</v>
      </c>
      <c r="J28" s="306"/>
      <c r="K28" s="308"/>
      <c r="L28" s="306"/>
      <c r="M28" s="306"/>
      <c r="N28" s="306"/>
      <c r="O28" s="306"/>
      <c r="P28" s="306"/>
      <c r="Q28" s="306"/>
      <c r="R28" s="307"/>
    </row>
    <row r="29" spans="1:18" ht="30.6" customHeight="1" x14ac:dyDescent="0.25">
      <c r="A29" s="198" t="str">
        <f>'Class List'!A29</f>
        <v>Student</v>
      </c>
      <c r="B29" s="201">
        <v>0</v>
      </c>
      <c r="C29" s="202">
        <v>0</v>
      </c>
      <c r="D29" s="202">
        <v>0</v>
      </c>
      <c r="E29" s="202">
        <v>0</v>
      </c>
      <c r="F29" s="202">
        <v>0</v>
      </c>
      <c r="G29" s="197">
        <f>'Class List'!$C29</f>
        <v>9</v>
      </c>
      <c r="H29" s="194">
        <f t="shared" si="0"/>
        <v>0</v>
      </c>
      <c r="I29" s="195" t="str">
        <f t="shared" si="1"/>
        <v>Beginning</v>
      </c>
      <c r="J29" s="306"/>
      <c r="K29" s="308"/>
      <c r="L29" s="306"/>
      <c r="M29" s="306"/>
      <c r="N29" s="306"/>
      <c r="O29" s="306"/>
      <c r="P29" s="306"/>
      <c r="Q29" s="306"/>
      <c r="R29" s="307"/>
    </row>
    <row r="30" spans="1:18" ht="30.6" customHeight="1" x14ac:dyDescent="0.25">
      <c r="A30" s="198" t="str">
        <f>'Class List'!A30</f>
        <v>Student</v>
      </c>
      <c r="B30" s="201">
        <v>0</v>
      </c>
      <c r="C30" s="202">
        <v>0</v>
      </c>
      <c r="D30" s="202">
        <v>0</v>
      </c>
      <c r="E30" s="202">
        <v>0</v>
      </c>
      <c r="F30" s="202">
        <v>0</v>
      </c>
      <c r="G30" s="197">
        <f>'Class List'!$C30</f>
        <v>9</v>
      </c>
      <c r="H30" s="194">
        <f t="shared" si="0"/>
        <v>0</v>
      </c>
      <c r="I30" s="195" t="str">
        <f t="shared" si="1"/>
        <v>Beginning</v>
      </c>
      <c r="J30" s="306"/>
      <c r="K30" s="308"/>
      <c r="L30" s="306"/>
      <c r="M30" s="306"/>
      <c r="N30" s="306"/>
      <c r="O30" s="306"/>
      <c r="P30" s="306"/>
      <c r="Q30" s="306"/>
      <c r="R30" s="307"/>
    </row>
    <row r="31" spans="1:18" ht="30.6" customHeight="1" x14ac:dyDescent="0.25">
      <c r="A31" s="198">
        <f>'Class List'!A31</f>
        <v>0</v>
      </c>
      <c r="B31" s="201">
        <v>0</v>
      </c>
      <c r="C31" s="202">
        <v>0</v>
      </c>
      <c r="D31" s="202">
        <v>0</v>
      </c>
      <c r="E31" s="202">
        <v>0</v>
      </c>
      <c r="F31" s="202">
        <v>0</v>
      </c>
      <c r="G31" s="197">
        <f>'Class List'!$C31</f>
        <v>0</v>
      </c>
      <c r="H31" s="194">
        <f t="shared" si="0"/>
        <v>0</v>
      </c>
      <c r="I31" s="195" t="str">
        <f t="shared" si="1"/>
        <v>Age Not Found</v>
      </c>
      <c r="J31" s="306"/>
      <c r="K31" s="308"/>
      <c r="L31" s="306"/>
      <c r="M31" s="306"/>
      <c r="N31" s="306"/>
      <c r="O31" s="306"/>
      <c r="P31" s="306"/>
      <c r="Q31" s="306"/>
      <c r="R31" s="307"/>
    </row>
    <row r="32" spans="1:18" ht="30.6" customHeight="1" x14ac:dyDescent="0.25">
      <c r="A32" s="198">
        <f>'Class List'!A32</f>
        <v>0</v>
      </c>
      <c r="B32" s="201">
        <v>0</v>
      </c>
      <c r="C32" s="202">
        <v>0</v>
      </c>
      <c r="D32" s="202">
        <v>0</v>
      </c>
      <c r="E32" s="202">
        <v>0</v>
      </c>
      <c r="F32" s="202">
        <v>0</v>
      </c>
      <c r="G32" s="197">
        <f>'Class List'!$C32</f>
        <v>0</v>
      </c>
      <c r="H32" s="194">
        <f t="shared" si="0"/>
        <v>0</v>
      </c>
      <c r="I32" s="195" t="str">
        <f t="shared" si="1"/>
        <v>Age Not Found</v>
      </c>
      <c r="J32" s="306"/>
      <c r="K32" s="308"/>
      <c r="L32" s="306"/>
      <c r="M32" s="306"/>
      <c r="N32" s="306"/>
      <c r="O32" s="306"/>
      <c r="P32" s="306"/>
      <c r="Q32" s="306"/>
      <c r="R32" s="307"/>
    </row>
    <row r="33" spans="1:18" ht="30.6" customHeight="1" x14ac:dyDescent="0.25">
      <c r="A33" s="198">
        <f>'Class List'!A33</f>
        <v>0</v>
      </c>
      <c r="B33" s="201">
        <v>0</v>
      </c>
      <c r="C33" s="202">
        <v>0</v>
      </c>
      <c r="D33" s="202">
        <v>0</v>
      </c>
      <c r="E33" s="202">
        <v>0</v>
      </c>
      <c r="F33" s="202">
        <v>0</v>
      </c>
      <c r="G33" s="197">
        <f>'Class List'!$C33</f>
        <v>0</v>
      </c>
      <c r="H33" s="194">
        <f t="shared" si="0"/>
        <v>0</v>
      </c>
      <c r="I33" s="195" t="str">
        <f t="shared" si="1"/>
        <v>Age Not Found</v>
      </c>
      <c r="J33" s="306"/>
      <c r="K33" s="308"/>
      <c r="L33" s="306"/>
      <c r="M33" s="306"/>
      <c r="N33" s="306"/>
      <c r="O33" s="306"/>
      <c r="P33" s="306"/>
      <c r="Q33" s="306"/>
      <c r="R33" s="307"/>
    </row>
    <row r="34" spans="1:18" ht="30.6" customHeight="1" thickBot="1" x14ac:dyDescent="0.3">
      <c r="A34" s="198">
        <f>'Class List'!A34</f>
        <v>0</v>
      </c>
      <c r="B34" s="203">
        <v>0</v>
      </c>
      <c r="C34" s="204">
        <v>0</v>
      </c>
      <c r="D34" s="204">
        <v>0</v>
      </c>
      <c r="E34" s="204">
        <v>0</v>
      </c>
      <c r="F34" s="204">
        <v>0</v>
      </c>
      <c r="G34" s="197">
        <f>'Class List'!$C34</f>
        <v>0</v>
      </c>
      <c r="H34" s="194">
        <f t="shared" si="0"/>
        <v>0</v>
      </c>
      <c r="I34" s="195" t="str">
        <f t="shared" si="1"/>
        <v>Age Not Found</v>
      </c>
      <c r="J34" s="306"/>
      <c r="K34" s="308"/>
      <c r="L34" s="306"/>
      <c r="M34" s="306"/>
      <c r="N34" s="306"/>
      <c r="O34" s="306"/>
      <c r="P34" s="306"/>
      <c r="Q34" s="306"/>
      <c r="R34" s="307"/>
    </row>
    <row r="35" spans="1:18" ht="13.05" customHeight="1" thickTop="1" thickBot="1" x14ac:dyDescent="0.3">
      <c r="A35" s="191" t="s">
        <v>34</v>
      </c>
      <c r="B35" s="192">
        <f>SUM(B5:B34)</f>
        <v>1</v>
      </c>
      <c r="C35" s="192">
        <f>SUM(C5:C34)</f>
        <v>1</v>
      </c>
      <c r="D35" s="192">
        <f>SUM(D5:D34)</f>
        <v>1</v>
      </c>
      <c r="E35" s="192">
        <f>SUM(E5:E34)</f>
        <v>1</v>
      </c>
      <c r="F35" s="192">
        <f>SUM(F5:F34)</f>
        <v>1</v>
      </c>
      <c r="G35" s="192"/>
      <c r="H35" s="192"/>
      <c r="I35" s="193"/>
      <c r="J35" s="306"/>
      <c r="K35" s="308"/>
      <c r="L35" s="306"/>
      <c r="M35" s="306"/>
      <c r="N35" s="306"/>
      <c r="O35" s="306"/>
      <c r="P35" s="306"/>
      <c r="Q35" s="306"/>
      <c r="R35" s="307"/>
    </row>
    <row r="36" spans="1:18" ht="15.6" customHeight="1" thickTop="1" x14ac:dyDescent="0.3">
      <c r="A36" s="327" t="s">
        <v>35</v>
      </c>
      <c r="B36" s="328"/>
      <c r="C36" s="328"/>
      <c r="D36" s="328"/>
      <c r="E36" s="329"/>
      <c r="F36" s="306"/>
      <c r="H36" s="330" t="s">
        <v>36</v>
      </c>
      <c r="I36" s="306"/>
      <c r="J36" s="306"/>
      <c r="K36" s="308"/>
      <c r="L36" s="306"/>
      <c r="M36" s="306"/>
      <c r="N36" s="306"/>
      <c r="O36" s="306"/>
      <c r="P36" s="306"/>
      <c r="Q36" s="306"/>
      <c r="R36" s="307"/>
    </row>
    <row r="37" spans="1:18" ht="13.05" customHeight="1" x14ac:dyDescent="0.25">
      <c r="A37" s="324"/>
      <c r="B37" s="325"/>
      <c r="C37" s="325"/>
      <c r="D37" s="325"/>
      <c r="E37" s="326"/>
      <c r="F37" s="306"/>
      <c r="H37" s="306"/>
      <c r="I37" s="306"/>
      <c r="J37" s="306"/>
      <c r="K37" s="308"/>
      <c r="L37" s="306"/>
      <c r="M37" s="306"/>
      <c r="N37" s="306"/>
      <c r="O37" s="306"/>
      <c r="P37" s="306"/>
      <c r="Q37" s="306"/>
      <c r="R37" s="307"/>
    </row>
    <row r="38" spans="1:18" ht="13.05" customHeight="1" x14ac:dyDescent="0.25">
      <c r="A38" s="5" t="s">
        <v>5</v>
      </c>
      <c r="B38" s="6" t="s">
        <v>37</v>
      </c>
      <c r="C38" s="6" t="s">
        <v>38</v>
      </c>
      <c r="D38" s="6" t="s">
        <v>39</v>
      </c>
      <c r="E38" s="7" t="s">
        <v>40</v>
      </c>
      <c r="F38" s="306"/>
      <c r="H38" s="8" t="s">
        <v>41</v>
      </c>
      <c r="I38" s="9"/>
      <c r="J38" s="306"/>
      <c r="K38" s="308"/>
      <c r="L38" s="306"/>
      <c r="M38" s="306"/>
      <c r="N38" s="306"/>
      <c r="O38" s="306"/>
      <c r="P38" s="306"/>
      <c r="Q38" s="306"/>
      <c r="R38" s="307"/>
    </row>
    <row r="39" spans="1:18" ht="12.6" customHeight="1" x14ac:dyDescent="0.25">
      <c r="A39" s="32">
        <v>5</v>
      </c>
      <c r="B39" s="10">
        <v>0</v>
      </c>
      <c r="C39" s="10">
        <v>0</v>
      </c>
      <c r="D39" s="10">
        <v>1</v>
      </c>
      <c r="E39" s="11">
        <v>2</v>
      </c>
      <c r="F39" s="306"/>
      <c r="H39" s="12" t="s">
        <v>42</v>
      </c>
      <c r="I39" s="13">
        <f>COUNTIF(I$5:I$34, "Beginning")</f>
        <v>25</v>
      </c>
      <c r="J39" s="306"/>
      <c r="K39" s="308"/>
      <c r="L39" s="306"/>
      <c r="M39" s="306"/>
      <c r="N39" s="306"/>
      <c r="O39" s="306"/>
      <c r="P39" s="306"/>
      <c r="Q39" s="306"/>
      <c r="R39" s="307"/>
    </row>
    <row r="40" spans="1:18" ht="12.6" customHeight="1" x14ac:dyDescent="0.25">
      <c r="A40" s="32">
        <v>6</v>
      </c>
      <c r="B40" s="10">
        <v>0</v>
      </c>
      <c r="C40" s="10">
        <v>1</v>
      </c>
      <c r="D40" s="10">
        <v>2</v>
      </c>
      <c r="E40" s="11">
        <v>3</v>
      </c>
      <c r="F40" s="306"/>
      <c r="H40" s="12" t="s">
        <v>38</v>
      </c>
      <c r="I40" s="13">
        <f>COUNTIF(I$5:I$34, "Progressing")</f>
        <v>0</v>
      </c>
      <c r="J40" s="306"/>
      <c r="K40" s="308"/>
      <c r="L40" s="306"/>
      <c r="M40" s="306"/>
      <c r="N40" s="306"/>
      <c r="O40" s="306"/>
      <c r="P40" s="306"/>
      <c r="Q40" s="306"/>
      <c r="R40" s="307"/>
    </row>
    <row r="41" spans="1:18" ht="12.6" customHeight="1" x14ac:dyDescent="0.25">
      <c r="A41" s="32">
        <v>7</v>
      </c>
      <c r="B41" s="10">
        <v>1</v>
      </c>
      <c r="C41" s="10">
        <v>2</v>
      </c>
      <c r="D41" s="10">
        <v>3</v>
      </c>
      <c r="E41" s="11">
        <v>4</v>
      </c>
      <c r="F41" s="306"/>
      <c r="H41" s="12" t="s">
        <v>43</v>
      </c>
      <c r="I41" s="13">
        <f>COUNTIF(I$5:I$34, "Achieving")</f>
        <v>1</v>
      </c>
      <c r="J41" s="306"/>
      <c r="K41" s="308"/>
      <c r="L41" s="306"/>
      <c r="M41" s="306"/>
      <c r="N41" s="306"/>
      <c r="O41" s="306"/>
      <c r="P41" s="306"/>
      <c r="Q41" s="306"/>
      <c r="R41" s="307"/>
    </row>
    <row r="42" spans="1:18" ht="12.6" customHeight="1" x14ac:dyDescent="0.25">
      <c r="A42" s="32">
        <v>8</v>
      </c>
      <c r="B42" s="10">
        <v>2</v>
      </c>
      <c r="C42" s="10">
        <v>3</v>
      </c>
      <c r="D42" s="10">
        <v>4</v>
      </c>
      <c r="E42" s="11">
        <v>5</v>
      </c>
      <c r="F42" s="306"/>
      <c r="H42" s="12" t="s">
        <v>40</v>
      </c>
      <c r="I42" s="13">
        <f>COUNTIF(I$5:I$34, "Excelling")</f>
        <v>0</v>
      </c>
      <c r="J42" s="306"/>
      <c r="K42" s="308"/>
      <c r="L42" s="306"/>
      <c r="M42" s="306"/>
      <c r="N42" s="306"/>
      <c r="O42" s="306"/>
      <c r="P42" s="306"/>
      <c r="Q42" s="306"/>
      <c r="R42" s="307"/>
    </row>
    <row r="43" spans="1:18" ht="12.6" customHeight="1" x14ac:dyDescent="0.25">
      <c r="A43" s="33">
        <v>9</v>
      </c>
      <c r="B43" s="10">
        <v>3</v>
      </c>
      <c r="C43" s="10">
        <v>4</v>
      </c>
      <c r="D43" s="10">
        <v>5</v>
      </c>
      <c r="E43" s="11"/>
      <c r="F43" s="306"/>
      <c r="H43" s="306"/>
      <c r="I43" s="306"/>
      <c r="J43" s="306"/>
      <c r="K43" s="308"/>
      <c r="L43" s="306"/>
      <c r="M43" s="306"/>
      <c r="N43" s="306"/>
      <c r="O43" s="306"/>
      <c r="P43" s="306"/>
      <c r="Q43" s="306"/>
      <c r="R43" s="307"/>
    </row>
    <row r="44" spans="1:18" ht="12.6" customHeight="1" thickBot="1" x14ac:dyDescent="0.3">
      <c r="A44" s="32">
        <v>10</v>
      </c>
      <c r="B44" s="10">
        <v>3</v>
      </c>
      <c r="C44" s="10">
        <v>4</v>
      </c>
      <c r="D44" s="10">
        <v>5</v>
      </c>
      <c r="E44" s="11"/>
      <c r="F44" s="306"/>
      <c r="H44" s="306"/>
      <c r="I44" s="306"/>
      <c r="J44" s="306"/>
      <c r="K44" s="309"/>
      <c r="L44" s="310"/>
      <c r="M44" s="310"/>
      <c r="N44" s="310"/>
      <c r="O44" s="310"/>
      <c r="P44" s="310"/>
      <c r="Q44" s="310"/>
      <c r="R44" s="311"/>
    </row>
    <row r="45" spans="1:18" ht="12.6" customHeight="1" thickTop="1" x14ac:dyDescent="0.25">
      <c r="A45" s="32">
        <v>11</v>
      </c>
      <c r="B45" s="10">
        <v>3</v>
      </c>
      <c r="C45" s="10">
        <v>4</v>
      </c>
      <c r="D45" s="10">
        <v>5</v>
      </c>
      <c r="E45" s="11"/>
      <c r="F45" s="306"/>
      <c r="H45" s="306"/>
      <c r="I45" s="306"/>
      <c r="J45" s="306"/>
      <c r="K45" s="306"/>
      <c r="L45" s="306"/>
      <c r="M45" s="306"/>
      <c r="N45" s="306"/>
      <c r="O45" s="306"/>
      <c r="P45" s="306"/>
      <c r="Q45" s="306"/>
      <c r="R45" s="306"/>
    </row>
    <row r="46" spans="1:18" ht="12.6" customHeight="1" thickBot="1" x14ac:dyDescent="0.3">
      <c r="A46" s="34">
        <v>12</v>
      </c>
      <c r="B46" s="14">
        <v>3</v>
      </c>
      <c r="C46" s="14">
        <v>4</v>
      </c>
      <c r="D46" s="14">
        <v>5</v>
      </c>
      <c r="E46" s="15"/>
      <c r="F46" s="306"/>
      <c r="H46" s="306"/>
      <c r="I46" s="306"/>
      <c r="J46" s="306"/>
      <c r="K46" s="306"/>
      <c r="L46" s="306"/>
      <c r="M46" s="306"/>
      <c r="N46" s="306"/>
      <c r="O46" s="306"/>
      <c r="P46" s="306"/>
      <c r="Q46" s="306"/>
      <c r="R46" s="306"/>
    </row>
    <row r="47" spans="1:18" ht="15.75" customHeight="1" thickTop="1" x14ac:dyDescent="0.25"/>
    <row r="48" spans="1:18"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4">
    <mergeCell ref="K3:R44"/>
    <mergeCell ref="K45:R46"/>
    <mergeCell ref="A1:I1"/>
    <mergeCell ref="J1:J46"/>
    <mergeCell ref="K1:R1"/>
    <mergeCell ref="K2:N2"/>
    <mergeCell ref="O2:R2"/>
    <mergeCell ref="A37:E37"/>
    <mergeCell ref="A36:E36"/>
    <mergeCell ref="F36:F46"/>
    <mergeCell ref="H36:I37"/>
    <mergeCell ref="H43:I46"/>
    <mergeCell ref="F2:I2"/>
    <mergeCell ref="B2:E2"/>
  </mergeCells>
  <conditionalFormatting sqref="I5:I34">
    <cfRule type="containsText" dxfId="231" priority="1" operator="containsText" text="Error">
      <formula>NOT(ISERROR(SEARCH("Error",I5)))</formula>
    </cfRule>
    <cfRule type="containsText" dxfId="230" priority="2" operator="containsText" text="Age Not Found">
      <formula>NOT(ISERROR(SEARCH("Age Not Found",I5)))</formula>
    </cfRule>
    <cfRule type="containsText" dxfId="229" priority="3" operator="containsText" text="Beginning">
      <formula>NOT(ISERROR(SEARCH("Beginning",I5)))</formula>
    </cfRule>
    <cfRule type="containsText" dxfId="228" priority="4" operator="containsText" text="Progressing">
      <formula>NOT(ISERROR(SEARCH("Progressing",I5)))</formula>
    </cfRule>
    <cfRule type="containsText" dxfId="227" priority="5" operator="containsText" text="Achieving">
      <formula>NOT(ISERROR(SEARCH("Achieving",I5)))</formula>
    </cfRule>
    <cfRule type="containsText" dxfId="226" priority="6" operator="containsText" text="Excelling">
      <formula>NOT(ISERROR(SEARCH("Excelling",I5)))</formula>
    </cfRule>
  </conditionalFormatting>
  <dataValidations count="2">
    <dataValidation type="list" allowBlank="1" showInputMessage="1" showErrorMessage="1" sqref="I5:I34" xr:uid="{94921F40-881B-48E1-ACAF-6EE8140F5D44}">
      <formula1>$A$48:$A$52</formula1>
    </dataValidation>
    <dataValidation type="list" allowBlank="1" showInputMessage="1" showErrorMessage="1" sqref="B5:F34" xr:uid="{3D45904A-1A30-4AB8-9D2E-B91E6210C17C}">
      <formula1>"1, 0"</formula1>
    </dataValidation>
  </dataValidations>
  <hyperlinks>
    <hyperlink ref="H36" r:id="rId1" xr:uid="{00000000-0004-0000-0000-000000000000}"/>
  </hyperlinks>
  <pageMargins left="0.7" right="0.7" top="0.75" bottom="0.75" header="0.3" footer="0.3"/>
  <pageSetup orientation="portrait" horizontalDpi="1200" verticalDpi="1200"/>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7"/>
    <outlinePr summaryBelow="0" summaryRight="0"/>
  </sheetPr>
  <dimension ref="A1:R52"/>
  <sheetViews>
    <sheetView showGridLines="0" zoomScale="55" zoomScaleNormal="55" workbookViewId="0">
      <pane xSplit="1" ySplit="4" topLeftCell="B20" activePane="bottomRight" state="frozen"/>
      <selection activeCell="I5" sqref="I5:I34"/>
      <selection pane="topRight" activeCell="I5" sqref="I5:I34"/>
      <selection pane="bottomLeft" activeCell="I5" sqref="I5:I34"/>
      <selection pane="bottomRight" activeCell="G5" sqref="G5:I34"/>
    </sheetView>
  </sheetViews>
  <sheetFormatPr defaultColWidth="12.5546875" defaultRowHeight="15.75" customHeight="1" x14ac:dyDescent="0.25"/>
  <cols>
    <col min="1" max="1" width="27" customWidth="1"/>
    <col min="2" max="6" width="27.21875" customWidth="1"/>
    <col min="7" max="7" width="15.6640625" customWidth="1"/>
    <col min="18" max="18" width="23.21875" customWidth="1"/>
  </cols>
  <sheetData>
    <row r="1" spans="1:18" ht="26.4" customHeight="1" thickTop="1" thickBot="1" x14ac:dyDescent="0.8">
      <c r="A1" s="337" t="s">
        <v>46</v>
      </c>
      <c r="B1" s="338"/>
      <c r="C1" s="338"/>
      <c r="D1" s="338"/>
      <c r="E1" s="338"/>
      <c r="F1" s="338"/>
      <c r="G1" s="338"/>
      <c r="H1" s="338"/>
      <c r="I1" s="339"/>
      <c r="J1" s="306"/>
      <c r="K1" s="315" t="s">
        <v>20</v>
      </c>
      <c r="L1" s="316"/>
      <c r="M1" s="316"/>
      <c r="N1" s="316"/>
      <c r="O1" s="316"/>
      <c r="P1" s="316"/>
      <c r="Q1" s="316"/>
      <c r="R1" s="317"/>
    </row>
    <row r="2" spans="1:18" ht="36.6" customHeight="1" thickTop="1" thickBot="1" x14ac:dyDescent="0.55000000000000004">
      <c r="A2" s="334" t="s">
        <v>47</v>
      </c>
      <c r="B2" s="336"/>
      <c r="C2" s="334" t="s">
        <v>48</v>
      </c>
      <c r="D2" s="335"/>
      <c r="E2" s="336"/>
      <c r="F2" s="334" t="s">
        <v>49</v>
      </c>
      <c r="G2" s="335"/>
      <c r="H2" s="335"/>
      <c r="I2" s="336"/>
      <c r="J2" s="306"/>
      <c r="K2" s="318" t="s">
        <v>24</v>
      </c>
      <c r="L2" s="319"/>
      <c r="M2" s="319"/>
      <c r="N2" s="320"/>
      <c r="O2" s="321"/>
      <c r="P2" s="322"/>
      <c r="Q2" s="322"/>
      <c r="R2" s="323"/>
    </row>
    <row r="3" spans="1:18" ht="52.5" customHeight="1" thickTop="1" thickBot="1" x14ac:dyDescent="0.3">
      <c r="A3" s="196" t="s">
        <v>25</v>
      </c>
      <c r="B3" s="1" t="s">
        <v>50</v>
      </c>
      <c r="C3" s="35" t="s">
        <v>51</v>
      </c>
      <c r="D3" s="17" t="s">
        <v>52</v>
      </c>
      <c r="E3" s="17" t="s">
        <v>53</v>
      </c>
      <c r="F3" s="18" t="s">
        <v>54</v>
      </c>
      <c r="G3" s="66" t="s">
        <v>5</v>
      </c>
      <c r="H3" s="3" t="s">
        <v>31</v>
      </c>
      <c r="I3" s="4" t="s">
        <v>32</v>
      </c>
      <c r="J3" s="306"/>
      <c r="K3" s="305"/>
      <c r="L3" s="306"/>
      <c r="M3" s="306"/>
      <c r="N3" s="306"/>
      <c r="O3" s="306"/>
      <c r="P3" s="306"/>
      <c r="Q3" s="306"/>
      <c r="R3" s="307"/>
    </row>
    <row r="4" spans="1:18" ht="13.05" customHeight="1" thickTop="1" x14ac:dyDescent="0.25">
      <c r="A4" s="205" t="s">
        <v>33</v>
      </c>
      <c r="B4" s="24">
        <v>6</v>
      </c>
      <c r="C4" s="31">
        <v>9</v>
      </c>
      <c r="D4" s="31">
        <v>9</v>
      </c>
      <c r="E4" s="31">
        <v>9</v>
      </c>
      <c r="F4" s="27">
        <v>5</v>
      </c>
      <c r="G4" s="2"/>
      <c r="H4" s="22"/>
      <c r="I4" s="23"/>
      <c r="J4" s="306"/>
      <c r="K4" s="308"/>
      <c r="L4" s="306"/>
      <c r="M4" s="306"/>
      <c r="N4" s="306"/>
      <c r="O4" s="306"/>
      <c r="P4" s="306"/>
      <c r="Q4" s="306"/>
      <c r="R4" s="307"/>
    </row>
    <row r="5" spans="1:18" ht="30" customHeight="1" x14ac:dyDescent="0.25">
      <c r="A5" s="198" t="str">
        <f>'Class List'!A5</f>
        <v>Student</v>
      </c>
      <c r="B5" s="199">
        <v>1</v>
      </c>
      <c r="C5" s="200">
        <v>1</v>
      </c>
      <c r="D5" s="200">
        <v>1</v>
      </c>
      <c r="E5" s="200">
        <v>1</v>
      </c>
      <c r="F5" s="200">
        <v>0</v>
      </c>
      <c r="G5" s="197">
        <f>'Class List'!$C5</f>
        <v>9</v>
      </c>
      <c r="H5" s="194">
        <f t="shared" ref="H5:H34" si="0">SUM(B5:F5)</f>
        <v>4</v>
      </c>
      <c r="I5" s="195" t="str">
        <f t="shared" ref="I5:I34" si="1">IFERROR(
   IF(H5 &lt;= INDEX($B$36:$B$46, MATCH(G5, $A$36:$A$46, 0)), "Beginning",
      IF(H5 &lt;= INDEX($C$36:$C$46, MATCH(G5, $A$36:$A$46, 0)), "Progressing",
         IF(H5 &lt;= INDEX($D$36:$D$46, MATCH(G5, $A$36:$A$46, 0)), "Achieving",
            IF(H5 &gt;= INDEX($E$36:$E$46, MATCH(G5, $A$36:$A$46, 0)), "Excelling", "Error")))),
   "Age Not Found")</f>
        <v>Progressing</v>
      </c>
      <c r="J5" s="306"/>
      <c r="K5" s="308"/>
      <c r="L5" s="306"/>
      <c r="M5" s="306"/>
      <c r="N5" s="306"/>
      <c r="O5" s="306"/>
      <c r="P5" s="306"/>
      <c r="Q5" s="306"/>
      <c r="R5" s="307"/>
    </row>
    <row r="6" spans="1:18" ht="30" customHeight="1" x14ac:dyDescent="0.25">
      <c r="A6" s="198" t="str">
        <f>'Class List'!A6</f>
        <v>Student</v>
      </c>
      <c r="B6" s="201">
        <v>0</v>
      </c>
      <c r="C6" s="202">
        <v>0</v>
      </c>
      <c r="D6" s="202">
        <v>0</v>
      </c>
      <c r="E6" s="202">
        <v>0</v>
      </c>
      <c r="F6" s="202">
        <v>0</v>
      </c>
      <c r="G6" s="197">
        <f>'Class List'!$C6</f>
        <v>10</v>
      </c>
      <c r="H6" s="194">
        <f t="shared" si="0"/>
        <v>0</v>
      </c>
      <c r="I6" s="195" t="str">
        <f t="shared" si="1"/>
        <v>Beginning</v>
      </c>
      <c r="J6" s="306"/>
      <c r="K6" s="308"/>
      <c r="L6" s="306"/>
      <c r="M6" s="306"/>
      <c r="N6" s="306"/>
      <c r="O6" s="306"/>
      <c r="P6" s="306"/>
      <c r="Q6" s="306"/>
      <c r="R6" s="307"/>
    </row>
    <row r="7" spans="1:18" ht="30" customHeight="1" x14ac:dyDescent="0.25">
      <c r="A7" s="198" t="str">
        <f>'Class List'!A7</f>
        <v>Student</v>
      </c>
      <c r="B7" s="201">
        <v>0</v>
      </c>
      <c r="C7" s="202">
        <v>0</v>
      </c>
      <c r="D7" s="202">
        <v>0</v>
      </c>
      <c r="E7" s="202">
        <v>0</v>
      </c>
      <c r="F7" s="202">
        <v>0</v>
      </c>
      <c r="G7" s="197">
        <f>'Class List'!$C7</f>
        <v>9</v>
      </c>
      <c r="H7" s="194">
        <f t="shared" si="0"/>
        <v>0</v>
      </c>
      <c r="I7" s="195" t="str">
        <f t="shared" si="1"/>
        <v>Beginning</v>
      </c>
      <c r="J7" s="306"/>
      <c r="K7" s="308"/>
      <c r="L7" s="306"/>
      <c r="M7" s="306"/>
      <c r="N7" s="306"/>
      <c r="O7" s="306"/>
      <c r="P7" s="306"/>
      <c r="Q7" s="306"/>
      <c r="R7" s="307"/>
    </row>
    <row r="8" spans="1:18" ht="30" customHeight="1" x14ac:dyDescent="0.25">
      <c r="A8" s="198" t="str">
        <f>'Class List'!A8</f>
        <v>Student</v>
      </c>
      <c r="B8" s="201">
        <v>0</v>
      </c>
      <c r="C8" s="202">
        <v>0</v>
      </c>
      <c r="D8" s="202">
        <v>0</v>
      </c>
      <c r="E8" s="202">
        <v>0</v>
      </c>
      <c r="F8" s="202">
        <v>0</v>
      </c>
      <c r="G8" s="197">
        <f>'Class List'!$C8</f>
        <v>10</v>
      </c>
      <c r="H8" s="194">
        <f t="shared" si="0"/>
        <v>0</v>
      </c>
      <c r="I8" s="195" t="str">
        <f t="shared" si="1"/>
        <v>Beginning</v>
      </c>
      <c r="J8" s="306"/>
      <c r="K8" s="308"/>
      <c r="L8" s="306"/>
      <c r="M8" s="306"/>
      <c r="N8" s="306"/>
      <c r="O8" s="306"/>
      <c r="P8" s="306"/>
      <c r="Q8" s="306"/>
      <c r="R8" s="307"/>
    </row>
    <row r="9" spans="1:18" ht="30" customHeight="1" x14ac:dyDescent="0.25">
      <c r="A9" s="198" t="str">
        <f>'Class List'!A9</f>
        <v>Student</v>
      </c>
      <c r="B9" s="201">
        <v>0</v>
      </c>
      <c r="C9" s="202">
        <v>0</v>
      </c>
      <c r="D9" s="202">
        <v>0</v>
      </c>
      <c r="E9" s="202">
        <v>0</v>
      </c>
      <c r="F9" s="202">
        <v>0</v>
      </c>
      <c r="G9" s="197">
        <f>'Class List'!$C9</f>
        <v>10</v>
      </c>
      <c r="H9" s="194">
        <f t="shared" si="0"/>
        <v>0</v>
      </c>
      <c r="I9" s="195" t="str">
        <f t="shared" si="1"/>
        <v>Beginning</v>
      </c>
      <c r="J9" s="306"/>
      <c r="K9" s="308"/>
      <c r="L9" s="306"/>
      <c r="M9" s="306"/>
      <c r="N9" s="306"/>
      <c r="O9" s="306"/>
      <c r="P9" s="306"/>
      <c r="Q9" s="306"/>
      <c r="R9" s="307"/>
    </row>
    <row r="10" spans="1:18" ht="30" customHeight="1" x14ac:dyDescent="0.25">
      <c r="A10" s="198" t="str">
        <f>'Class List'!A10</f>
        <v>Student</v>
      </c>
      <c r="B10" s="201">
        <v>0</v>
      </c>
      <c r="C10" s="202">
        <v>0</v>
      </c>
      <c r="D10" s="202">
        <v>0</v>
      </c>
      <c r="E10" s="202">
        <v>0</v>
      </c>
      <c r="F10" s="202">
        <v>0</v>
      </c>
      <c r="G10" s="197">
        <f>'Class List'!$C10</f>
        <v>10</v>
      </c>
      <c r="H10" s="194">
        <f t="shared" si="0"/>
        <v>0</v>
      </c>
      <c r="I10" s="195" t="str">
        <f t="shared" si="1"/>
        <v>Beginning</v>
      </c>
      <c r="J10" s="306"/>
      <c r="K10" s="308"/>
      <c r="L10" s="306"/>
      <c r="M10" s="306"/>
      <c r="N10" s="306"/>
      <c r="O10" s="306"/>
      <c r="P10" s="306"/>
      <c r="Q10" s="306"/>
      <c r="R10" s="307"/>
    </row>
    <row r="11" spans="1:18" ht="30" customHeight="1" x14ac:dyDescent="0.25">
      <c r="A11" s="198" t="str">
        <f>'Class List'!A11</f>
        <v>Student</v>
      </c>
      <c r="B11" s="201">
        <v>0</v>
      </c>
      <c r="C11" s="202">
        <v>0</v>
      </c>
      <c r="D11" s="202">
        <v>0</v>
      </c>
      <c r="E11" s="202">
        <v>0</v>
      </c>
      <c r="F11" s="202">
        <v>0</v>
      </c>
      <c r="G11" s="197">
        <f>'Class List'!$C11</f>
        <v>9</v>
      </c>
      <c r="H11" s="194">
        <f t="shared" si="0"/>
        <v>0</v>
      </c>
      <c r="I11" s="195" t="str">
        <f t="shared" si="1"/>
        <v>Beginning</v>
      </c>
      <c r="J11" s="306"/>
      <c r="K11" s="308"/>
      <c r="L11" s="306"/>
      <c r="M11" s="306"/>
      <c r="N11" s="306"/>
      <c r="O11" s="306"/>
      <c r="P11" s="306"/>
      <c r="Q11" s="306"/>
      <c r="R11" s="307"/>
    </row>
    <row r="12" spans="1:18" ht="30" customHeight="1" x14ac:dyDescent="0.25">
      <c r="A12" s="198" t="str">
        <f>'Class List'!A12</f>
        <v>Student</v>
      </c>
      <c r="B12" s="201">
        <v>0</v>
      </c>
      <c r="C12" s="202">
        <v>0</v>
      </c>
      <c r="D12" s="202">
        <v>0</v>
      </c>
      <c r="E12" s="202">
        <v>0</v>
      </c>
      <c r="F12" s="202">
        <v>0</v>
      </c>
      <c r="G12" s="197">
        <f>'Class List'!$C12</f>
        <v>9</v>
      </c>
      <c r="H12" s="194">
        <f t="shared" si="0"/>
        <v>0</v>
      </c>
      <c r="I12" s="195" t="str">
        <f t="shared" si="1"/>
        <v>Beginning</v>
      </c>
      <c r="J12" s="306"/>
      <c r="K12" s="308"/>
      <c r="L12" s="306"/>
      <c r="M12" s="306"/>
      <c r="N12" s="306"/>
      <c r="O12" s="306"/>
      <c r="P12" s="306"/>
      <c r="Q12" s="306"/>
      <c r="R12" s="307"/>
    </row>
    <row r="13" spans="1:18" ht="30" customHeight="1" x14ac:dyDescent="0.25">
      <c r="A13" s="198" t="str">
        <f>'Class List'!A13</f>
        <v>Student</v>
      </c>
      <c r="B13" s="201">
        <v>0</v>
      </c>
      <c r="C13" s="202">
        <v>0</v>
      </c>
      <c r="D13" s="202">
        <v>0</v>
      </c>
      <c r="E13" s="202">
        <v>0</v>
      </c>
      <c r="F13" s="202">
        <v>0</v>
      </c>
      <c r="G13" s="197">
        <f>'Class List'!$C13</f>
        <v>9</v>
      </c>
      <c r="H13" s="194">
        <f t="shared" si="0"/>
        <v>0</v>
      </c>
      <c r="I13" s="195" t="str">
        <f t="shared" si="1"/>
        <v>Beginning</v>
      </c>
      <c r="J13" s="306"/>
      <c r="K13" s="308"/>
      <c r="L13" s="306"/>
      <c r="M13" s="306"/>
      <c r="N13" s="306"/>
      <c r="O13" s="306"/>
      <c r="P13" s="306"/>
      <c r="Q13" s="306"/>
      <c r="R13" s="307"/>
    </row>
    <row r="14" spans="1:18" ht="30" customHeight="1" x14ac:dyDescent="0.25">
      <c r="A14" s="198" t="str">
        <f>'Class List'!A14</f>
        <v>Student</v>
      </c>
      <c r="B14" s="201">
        <v>0</v>
      </c>
      <c r="C14" s="202">
        <v>0</v>
      </c>
      <c r="D14" s="202">
        <v>0</v>
      </c>
      <c r="E14" s="202">
        <v>0</v>
      </c>
      <c r="F14" s="202">
        <v>0</v>
      </c>
      <c r="G14" s="197">
        <f>'Class List'!$C14</f>
        <v>9</v>
      </c>
      <c r="H14" s="194">
        <f t="shared" si="0"/>
        <v>0</v>
      </c>
      <c r="I14" s="195" t="str">
        <f t="shared" si="1"/>
        <v>Beginning</v>
      </c>
      <c r="J14" s="306"/>
      <c r="K14" s="308"/>
      <c r="L14" s="306"/>
      <c r="M14" s="306"/>
      <c r="N14" s="306"/>
      <c r="O14" s="306"/>
      <c r="P14" s="306"/>
      <c r="Q14" s="306"/>
      <c r="R14" s="307"/>
    </row>
    <row r="15" spans="1:18" ht="30" customHeight="1" x14ac:dyDescent="0.25">
      <c r="A15" s="198" t="str">
        <f>'Class List'!A15</f>
        <v>Student</v>
      </c>
      <c r="B15" s="201">
        <v>0</v>
      </c>
      <c r="C15" s="202">
        <v>0</v>
      </c>
      <c r="D15" s="202">
        <v>0</v>
      </c>
      <c r="E15" s="202">
        <v>0</v>
      </c>
      <c r="F15" s="202">
        <v>0</v>
      </c>
      <c r="G15" s="197">
        <f>'Class List'!$C15</f>
        <v>10</v>
      </c>
      <c r="H15" s="194">
        <f t="shared" si="0"/>
        <v>0</v>
      </c>
      <c r="I15" s="195" t="str">
        <f t="shared" si="1"/>
        <v>Beginning</v>
      </c>
      <c r="J15" s="306"/>
      <c r="K15" s="308"/>
      <c r="L15" s="306"/>
      <c r="M15" s="306"/>
      <c r="N15" s="306"/>
      <c r="O15" s="306"/>
      <c r="P15" s="306"/>
      <c r="Q15" s="306"/>
      <c r="R15" s="307"/>
    </row>
    <row r="16" spans="1:18" ht="30" customHeight="1" x14ac:dyDescent="0.25">
      <c r="A16" s="198" t="str">
        <f>'Class List'!A16</f>
        <v>Student</v>
      </c>
      <c r="B16" s="201">
        <v>0</v>
      </c>
      <c r="C16" s="202">
        <v>0</v>
      </c>
      <c r="D16" s="202">
        <v>0</v>
      </c>
      <c r="E16" s="202">
        <v>0</v>
      </c>
      <c r="F16" s="202">
        <v>0</v>
      </c>
      <c r="G16" s="197">
        <f>'Class List'!$C16</f>
        <v>9</v>
      </c>
      <c r="H16" s="194">
        <f t="shared" si="0"/>
        <v>0</v>
      </c>
      <c r="I16" s="195" t="str">
        <f t="shared" si="1"/>
        <v>Beginning</v>
      </c>
      <c r="J16" s="306"/>
      <c r="K16" s="308"/>
      <c r="L16" s="306"/>
      <c r="M16" s="306"/>
      <c r="N16" s="306"/>
      <c r="O16" s="306"/>
      <c r="P16" s="306"/>
      <c r="Q16" s="306"/>
      <c r="R16" s="307"/>
    </row>
    <row r="17" spans="1:18" ht="30" customHeight="1" x14ac:dyDescent="0.25">
      <c r="A17" s="198" t="str">
        <f>'Class List'!A17</f>
        <v>Student</v>
      </c>
      <c r="B17" s="201">
        <v>0</v>
      </c>
      <c r="C17" s="202">
        <v>0</v>
      </c>
      <c r="D17" s="202">
        <v>0</v>
      </c>
      <c r="E17" s="202">
        <v>0</v>
      </c>
      <c r="F17" s="202">
        <v>0</v>
      </c>
      <c r="G17" s="197">
        <f>'Class List'!$C17</f>
        <v>9</v>
      </c>
      <c r="H17" s="194">
        <f t="shared" si="0"/>
        <v>0</v>
      </c>
      <c r="I17" s="195" t="str">
        <f t="shared" si="1"/>
        <v>Beginning</v>
      </c>
      <c r="J17" s="306"/>
      <c r="K17" s="308"/>
      <c r="L17" s="306"/>
      <c r="M17" s="306"/>
      <c r="N17" s="306"/>
      <c r="O17" s="306"/>
      <c r="P17" s="306"/>
      <c r="Q17" s="306"/>
      <c r="R17" s="307"/>
    </row>
    <row r="18" spans="1:18" ht="30" customHeight="1" x14ac:dyDescent="0.25">
      <c r="A18" s="198" t="str">
        <f>'Class List'!A18</f>
        <v>Student</v>
      </c>
      <c r="B18" s="201">
        <v>0</v>
      </c>
      <c r="C18" s="202">
        <v>0</v>
      </c>
      <c r="D18" s="202">
        <v>0</v>
      </c>
      <c r="E18" s="202">
        <v>0</v>
      </c>
      <c r="F18" s="202">
        <v>0</v>
      </c>
      <c r="G18" s="197">
        <f>'Class List'!$C18</f>
        <v>10</v>
      </c>
      <c r="H18" s="194">
        <f t="shared" si="0"/>
        <v>0</v>
      </c>
      <c r="I18" s="195" t="str">
        <f t="shared" si="1"/>
        <v>Beginning</v>
      </c>
      <c r="J18" s="306"/>
      <c r="K18" s="308"/>
      <c r="L18" s="306"/>
      <c r="M18" s="306"/>
      <c r="N18" s="306"/>
      <c r="O18" s="306"/>
      <c r="P18" s="306"/>
      <c r="Q18" s="306"/>
      <c r="R18" s="307"/>
    </row>
    <row r="19" spans="1:18" ht="30" customHeight="1" x14ac:dyDescent="0.25">
      <c r="A19" s="198" t="str">
        <f>'Class List'!A19</f>
        <v>Student</v>
      </c>
      <c r="B19" s="201">
        <v>0</v>
      </c>
      <c r="C19" s="202">
        <v>0</v>
      </c>
      <c r="D19" s="202">
        <v>0</v>
      </c>
      <c r="E19" s="202">
        <v>0</v>
      </c>
      <c r="F19" s="202">
        <v>0</v>
      </c>
      <c r="G19" s="197">
        <f>'Class List'!$C19</f>
        <v>10</v>
      </c>
      <c r="H19" s="194">
        <f t="shared" si="0"/>
        <v>0</v>
      </c>
      <c r="I19" s="195" t="str">
        <f t="shared" si="1"/>
        <v>Beginning</v>
      </c>
      <c r="J19" s="306"/>
      <c r="K19" s="308"/>
      <c r="L19" s="306"/>
      <c r="M19" s="306"/>
      <c r="N19" s="306"/>
      <c r="O19" s="306"/>
      <c r="P19" s="306"/>
      <c r="Q19" s="306"/>
      <c r="R19" s="307"/>
    </row>
    <row r="20" spans="1:18" ht="30" customHeight="1" x14ac:dyDescent="0.25">
      <c r="A20" s="198" t="str">
        <f>'Class List'!A20</f>
        <v>Student</v>
      </c>
      <c r="B20" s="201">
        <v>0</v>
      </c>
      <c r="C20" s="202">
        <v>0</v>
      </c>
      <c r="D20" s="202">
        <v>0</v>
      </c>
      <c r="E20" s="202">
        <v>0</v>
      </c>
      <c r="F20" s="202">
        <v>0</v>
      </c>
      <c r="G20" s="197">
        <f>'Class List'!$C20</f>
        <v>10</v>
      </c>
      <c r="H20" s="194">
        <f t="shared" si="0"/>
        <v>0</v>
      </c>
      <c r="I20" s="195" t="str">
        <f t="shared" si="1"/>
        <v>Beginning</v>
      </c>
      <c r="J20" s="306"/>
      <c r="K20" s="308"/>
      <c r="L20" s="306"/>
      <c r="M20" s="306"/>
      <c r="N20" s="306"/>
      <c r="O20" s="306"/>
      <c r="P20" s="306"/>
      <c r="Q20" s="306"/>
      <c r="R20" s="307"/>
    </row>
    <row r="21" spans="1:18" ht="30" customHeight="1" x14ac:dyDescent="0.25">
      <c r="A21" s="198" t="str">
        <f>'Class List'!A21</f>
        <v>Student</v>
      </c>
      <c r="B21" s="201">
        <v>0</v>
      </c>
      <c r="C21" s="202">
        <v>0</v>
      </c>
      <c r="D21" s="202">
        <v>0</v>
      </c>
      <c r="E21" s="202">
        <v>0</v>
      </c>
      <c r="F21" s="202">
        <v>0</v>
      </c>
      <c r="G21" s="197">
        <f>'Class List'!$C21</f>
        <v>9</v>
      </c>
      <c r="H21" s="194">
        <f t="shared" si="0"/>
        <v>0</v>
      </c>
      <c r="I21" s="195" t="str">
        <f t="shared" si="1"/>
        <v>Beginning</v>
      </c>
      <c r="J21" s="306"/>
      <c r="K21" s="308"/>
      <c r="L21" s="306"/>
      <c r="M21" s="306"/>
      <c r="N21" s="306"/>
      <c r="O21" s="306"/>
      <c r="P21" s="306"/>
      <c r="Q21" s="306"/>
      <c r="R21" s="307"/>
    </row>
    <row r="22" spans="1:18" ht="30" customHeight="1" x14ac:dyDescent="0.25">
      <c r="A22" s="198" t="str">
        <f>'Class List'!A22</f>
        <v>Student</v>
      </c>
      <c r="B22" s="201">
        <v>0</v>
      </c>
      <c r="C22" s="202">
        <v>0</v>
      </c>
      <c r="D22" s="202">
        <v>0</v>
      </c>
      <c r="E22" s="202">
        <v>0</v>
      </c>
      <c r="F22" s="202">
        <v>0</v>
      </c>
      <c r="G22" s="197">
        <f>'Class List'!$C22</f>
        <v>10</v>
      </c>
      <c r="H22" s="194">
        <f t="shared" si="0"/>
        <v>0</v>
      </c>
      <c r="I22" s="195" t="str">
        <f t="shared" si="1"/>
        <v>Beginning</v>
      </c>
      <c r="J22" s="306"/>
      <c r="K22" s="308"/>
      <c r="L22" s="306"/>
      <c r="M22" s="306"/>
      <c r="N22" s="306"/>
      <c r="O22" s="306"/>
      <c r="P22" s="306"/>
      <c r="Q22" s="306"/>
      <c r="R22" s="307"/>
    </row>
    <row r="23" spans="1:18" ht="30" customHeight="1" x14ac:dyDescent="0.25">
      <c r="A23" s="198" t="str">
        <f>'Class List'!A23</f>
        <v>Student</v>
      </c>
      <c r="B23" s="201">
        <v>0</v>
      </c>
      <c r="C23" s="202">
        <v>0</v>
      </c>
      <c r="D23" s="202">
        <v>0</v>
      </c>
      <c r="E23" s="202">
        <v>0</v>
      </c>
      <c r="F23" s="202">
        <v>0</v>
      </c>
      <c r="G23" s="197">
        <f>'Class List'!$C23</f>
        <v>10</v>
      </c>
      <c r="H23" s="194">
        <f t="shared" si="0"/>
        <v>0</v>
      </c>
      <c r="I23" s="195" t="str">
        <f t="shared" si="1"/>
        <v>Beginning</v>
      </c>
      <c r="J23" s="306"/>
      <c r="K23" s="308"/>
      <c r="L23" s="306"/>
      <c r="M23" s="306"/>
      <c r="N23" s="306"/>
      <c r="O23" s="306"/>
      <c r="P23" s="306"/>
      <c r="Q23" s="306"/>
      <c r="R23" s="307"/>
    </row>
    <row r="24" spans="1:18" ht="30" customHeight="1" x14ac:dyDescent="0.25">
      <c r="A24" s="198" t="str">
        <f>'Class List'!A24</f>
        <v>Student</v>
      </c>
      <c r="B24" s="201">
        <v>0</v>
      </c>
      <c r="C24" s="202">
        <v>0</v>
      </c>
      <c r="D24" s="202">
        <v>0</v>
      </c>
      <c r="E24" s="202">
        <v>0</v>
      </c>
      <c r="F24" s="202">
        <v>0</v>
      </c>
      <c r="G24" s="197">
        <f>'Class List'!$C24</f>
        <v>9</v>
      </c>
      <c r="H24" s="194">
        <f t="shared" si="0"/>
        <v>0</v>
      </c>
      <c r="I24" s="195" t="str">
        <f t="shared" si="1"/>
        <v>Beginning</v>
      </c>
      <c r="J24" s="306"/>
      <c r="K24" s="308"/>
      <c r="L24" s="306"/>
      <c r="M24" s="306"/>
      <c r="N24" s="306"/>
      <c r="O24" s="306"/>
      <c r="P24" s="306"/>
      <c r="Q24" s="306"/>
      <c r="R24" s="307"/>
    </row>
    <row r="25" spans="1:18" ht="30" customHeight="1" x14ac:dyDescent="0.25">
      <c r="A25" s="198" t="str">
        <f>'Class List'!A25</f>
        <v>Student</v>
      </c>
      <c r="B25" s="201">
        <v>0</v>
      </c>
      <c r="C25" s="202">
        <v>0</v>
      </c>
      <c r="D25" s="202">
        <v>0</v>
      </c>
      <c r="E25" s="202">
        <v>0</v>
      </c>
      <c r="F25" s="202">
        <v>0</v>
      </c>
      <c r="G25" s="197">
        <f>'Class List'!$C25</f>
        <v>10</v>
      </c>
      <c r="H25" s="194">
        <f t="shared" si="0"/>
        <v>0</v>
      </c>
      <c r="I25" s="195" t="str">
        <f t="shared" si="1"/>
        <v>Beginning</v>
      </c>
      <c r="J25" s="306"/>
      <c r="K25" s="308"/>
      <c r="L25" s="306"/>
      <c r="M25" s="306"/>
      <c r="N25" s="306"/>
      <c r="O25" s="306"/>
      <c r="P25" s="306"/>
      <c r="Q25" s="306"/>
      <c r="R25" s="307"/>
    </row>
    <row r="26" spans="1:18" ht="30" customHeight="1" x14ac:dyDescent="0.25">
      <c r="A26" s="198" t="str">
        <f>'Class List'!A26</f>
        <v>Student</v>
      </c>
      <c r="B26" s="201">
        <v>0</v>
      </c>
      <c r="C26" s="202">
        <v>0</v>
      </c>
      <c r="D26" s="202">
        <v>0</v>
      </c>
      <c r="E26" s="202">
        <v>0</v>
      </c>
      <c r="F26" s="202">
        <v>0</v>
      </c>
      <c r="G26" s="197">
        <f>'Class List'!$C26</f>
        <v>10</v>
      </c>
      <c r="H26" s="194">
        <f t="shared" si="0"/>
        <v>0</v>
      </c>
      <c r="I26" s="195" t="str">
        <f t="shared" si="1"/>
        <v>Beginning</v>
      </c>
      <c r="J26" s="306"/>
      <c r="K26" s="308"/>
      <c r="L26" s="306"/>
      <c r="M26" s="306"/>
      <c r="N26" s="306"/>
      <c r="O26" s="306"/>
      <c r="P26" s="306"/>
      <c r="Q26" s="306"/>
      <c r="R26" s="307"/>
    </row>
    <row r="27" spans="1:18" ht="30" customHeight="1" x14ac:dyDescent="0.25">
      <c r="A27" s="198" t="str">
        <f>'Class List'!A27</f>
        <v>Student</v>
      </c>
      <c r="B27" s="201">
        <v>0</v>
      </c>
      <c r="C27" s="202">
        <v>0</v>
      </c>
      <c r="D27" s="202">
        <v>0</v>
      </c>
      <c r="E27" s="202">
        <v>0</v>
      </c>
      <c r="F27" s="202">
        <v>0</v>
      </c>
      <c r="G27" s="197">
        <f>'Class List'!$C27</f>
        <v>9</v>
      </c>
      <c r="H27" s="194">
        <f t="shared" si="0"/>
        <v>0</v>
      </c>
      <c r="I27" s="195" t="str">
        <f t="shared" si="1"/>
        <v>Beginning</v>
      </c>
      <c r="J27" s="306"/>
      <c r="K27" s="308"/>
      <c r="L27" s="306"/>
      <c r="M27" s="306"/>
      <c r="N27" s="306"/>
      <c r="O27" s="306"/>
      <c r="P27" s="306"/>
      <c r="Q27" s="306"/>
      <c r="R27" s="307"/>
    </row>
    <row r="28" spans="1:18" ht="30" customHeight="1" x14ac:dyDescent="0.25">
      <c r="A28" s="198" t="str">
        <f>'Class List'!A28</f>
        <v>Student</v>
      </c>
      <c r="B28" s="201">
        <v>0</v>
      </c>
      <c r="C28" s="202">
        <v>0</v>
      </c>
      <c r="D28" s="202">
        <v>0</v>
      </c>
      <c r="E28" s="202">
        <v>0</v>
      </c>
      <c r="F28" s="202">
        <v>0</v>
      </c>
      <c r="G28" s="197">
        <f>'Class List'!$C28</f>
        <v>9</v>
      </c>
      <c r="H28" s="194">
        <f t="shared" si="0"/>
        <v>0</v>
      </c>
      <c r="I28" s="195" t="str">
        <f t="shared" si="1"/>
        <v>Beginning</v>
      </c>
      <c r="J28" s="306"/>
      <c r="K28" s="308"/>
      <c r="L28" s="306"/>
      <c r="M28" s="306"/>
      <c r="N28" s="306"/>
      <c r="O28" s="306"/>
      <c r="P28" s="306"/>
      <c r="Q28" s="306"/>
      <c r="R28" s="307"/>
    </row>
    <row r="29" spans="1:18" ht="30" customHeight="1" x14ac:dyDescent="0.25">
      <c r="A29" s="198" t="str">
        <f>'Class List'!A29</f>
        <v>Student</v>
      </c>
      <c r="B29" s="201">
        <v>0</v>
      </c>
      <c r="C29" s="202">
        <v>0</v>
      </c>
      <c r="D29" s="202">
        <v>0</v>
      </c>
      <c r="E29" s="202">
        <v>0</v>
      </c>
      <c r="F29" s="202">
        <v>0</v>
      </c>
      <c r="G29" s="197">
        <f>'Class List'!$C29</f>
        <v>9</v>
      </c>
      <c r="H29" s="194">
        <f t="shared" si="0"/>
        <v>0</v>
      </c>
      <c r="I29" s="195" t="str">
        <f t="shared" si="1"/>
        <v>Beginning</v>
      </c>
      <c r="J29" s="306"/>
      <c r="K29" s="308"/>
      <c r="L29" s="306"/>
      <c r="M29" s="306"/>
      <c r="N29" s="306"/>
      <c r="O29" s="306"/>
      <c r="P29" s="306"/>
      <c r="Q29" s="306"/>
      <c r="R29" s="307"/>
    </row>
    <row r="30" spans="1:18" ht="30" customHeight="1" x14ac:dyDescent="0.25">
      <c r="A30" s="198" t="str">
        <f>'Class List'!A30</f>
        <v>Student</v>
      </c>
      <c r="B30" s="201">
        <v>0</v>
      </c>
      <c r="C30" s="202">
        <v>0</v>
      </c>
      <c r="D30" s="202">
        <v>0</v>
      </c>
      <c r="E30" s="202">
        <v>0</v>
      </c>
      <c r="F30" s="202">
        <v>0</v>
      </c>
      <c r="G30" s="197">
        <f>'Class List'!$C30</f>
        <v>9</v>
      </c>
      <c r="H30" s="194">
        <f t="shared" si="0"/>
        <v>0</v>
      </c>
      <c r="I30" s="195" t="str">
        <f t="shared" si="1"/>
        <v>Beginning</v>
      </c>
      <c r="J30" s="306"/>
      <c r="K30" s="308"/>
      <c r="L30" s="306"/>
      <c r="M30" s="306"/>
      <c r="N30" s="306"/>
      <c r="O30" s="306"/>
      <c r="P30" s="306"/>
      <c r="Q30" s="306"/>
      <c r="R30" s="307"/>
    </row>
    <row r="31" spans="1:18" ht="30" customHeight="1" x14ac:dyDescent="0.25">
      <c r="A31" s="198">
        <f>'Class List'!A31</f>
        <v>0</v>
      </c>
      <c r="B31" s="201">
        <v>0</v>
      </c>
      <c r="C31" s="202">
        <v>0</v>
      </c>
      <c r="D31" s="202">
        <v>0</v>
      </c>
      <c r="E31" s="202">
        <v>0</v>
      </c>
      <c r="F31" s="202">
        <v>0</v>
      </c>
      <c r="G31" s="197">
        <f>'Class List'!$C31</f>
        <v>0</v>
      </c>
      <c r="H31" s="194">
        <f t="shared" si="0"/>
        <v>0</v>
      </c>
      <c r="I31" s="195" t="str">
        <f t="shared" si="1"/>
        <v>Age Not Found</v>
      </c>
      <c r="J31" s="306"/>
      <c r="K31" s="308"/>
      <c r="L31" s="306"/>
      <c r="M31" s="306"/>
      <c r="N31" s="306"/>
      <c r="O31" s="306"/>
      <c r="P31" s="306"/>
      <c r="Q31" s="306"/>
      <c r="R31" s="307"/>
    </row>
    <row r="32" spans="1:18" ht="30" customHeight="1" x14ac:dyDescent="0.25">
      <c r="A32" s="198">
        <f>'Class List'!A32</f>
        <v>0</v>
      </c>
      <c r="B32" s="201">
        <v>0</v>
      </c>
      <c r="C32" s="202">
        <v>0</v>
      </c>
      <c r="D32" s="202">
        <v>0</v>
      </c>
      <c r="E32" s="202">
        <v>0</v>
      </c>
      <c r="F32" s="202">
        <v>0</v>
      </c>
      <c r="G32" s="197">
        <f>'Class List'!$C32</f>
        <v>0</v>
      </c>
      <c r="H32" s="194">
        <f t="shared" si="0"/>
        <v>0</v>
      </c>
      <c r="I32" s="195" t="str">
        <f t="shared" si="1"/>
        <v>Age Not Found</v>
      </c>
      <c r="J32" s="306"/>
      <c r="K32" s="308"/>
      <c r="L32" s="306"/>
      <c r="M32" s="306"/>
      <c r="N32" s="306"/>
      <c r="O32" s="306"/>
      <c r="P32" s="306"/>
      <c r="Q32" s="306"/>
      <c r="R32" s="307"/>
    </row>
    <row r="33" spans="1:18" ht="30" customHeight="1" x14ac:dyDescent="0.25">
      <c r="A33" s="198">
        <f>'Class List'!A33</f>
        <v>0</v>
      </c>
      <c r="B33" s="201">
        <v>0</v>
      </c>
      <c r="C33" s="202">
        <v>0</v>
      </c>
      <c r="D33" s="202">
        <v>0</v>
      </c>
      <c r="E33" s="202">
        <v>0</v>
      </c>
      <c r="F33" s="202">
        <v>0</v>
      </c>
      <c r="G33" s="197">
        <f>'Class List'!$C33</f>
        <v>0</v>
      </c>
      <c r="H33" s="194">
        <f t="shared" si="0"/>
        <v>0</v>
      </c>
      <c r="I33" s="195" t="str">
        <f t="shared" si="1"/>
        <v>Age Not Found</v>
      </c>
      <c r="J33" s="306"/>
      <c r="K33" s="308"/>
      <c r="L33" s="306"/>
      <c r="M33" s="306"/>
      <c r="N33" s="306"/>
      <c r="O33" s="306"/>
      <c r="P33" s="306"/>
      <c r="Q33" s="306"/>
      <c r="R33" s="307"/>
    </row>
    <row r="34" spans="1:18" ht="30" customHeight="1" thickBot="1" x14ac:dyDescent="0.3">
      <c r="A34" s="198">
        <f>'Class List'!A34</f>
        <v>0</v>
      </c>
      <c r="B34" s="203">
        <v>0</v>
      </c>
      <c r="C34" s="204">
        <v>0</v>
      </c>
      <c r="D34" s="204">
        <v>0</v>
      </c>
      <c r="E34" s="204">
        <v>0</v>
      </c>
      <c r="F34" s="204">
        <v>0</v>
      </c>
      <c r="G34" s="197">
        <f>'Class List'!$C34</f>
        <v>0</v>
      </c>
      <c r="H34" s="194">
        <f t="shared" si="0"/>
        <v>0</v>
      </c>
      <c r="I34" s="195" t="str">
        <f t="shared" si="1"/>
        <v>Age Not Found</v>
      </c>
      <c r="J34" s="306"/>
      <c r="K34" s="308"/>
      <c r="L34" s="306"/>
      <c r="M34" s="306"/>
      <c r="N34" s="306"/>
      <c r="O34" s="306"/>
      <c r="P34" s="306"/>
      <c r="Q34" s="306"/>
      <c r="R34" s="307"/>
    </row>
    <row r="35" spans="1:18" ht="13.05" customHeight="1" thickTop="1" thickBot="1" x14ac:dyDescent="0.3">
      <c r="A35" s="191" t="s">
        <v>34</v>
      </c>
      <c r="B35" s="192">
        <f>SUM(B5:B34)</f>
        <v>1</v>
      </c>
      <c r="C35" s="192">
        <f>SUM(C5:C34)</f>
        <v>1</v>
      </c>
      <c r="D35" s="192">
        <f>SUM(D5:D34)</f>
        <v>1</v>
      </c>
      <c r="E35" s="192">
        <f>SUM(E5:E34)</f>
        <v>1</v>
      </c>
      <c r="F35" s="192">
        <f>SUM(F5:F34)</f>
        <v>0</v>
      </c>
      <c r="G35" s="192"/>
      <c r="H35" s="192"/>
      <c r="I35" s="193"/>
      <c r="J35" s="306"/>
      <c r="K35" s="308"/>
      <c r="L35" s="306"/>
      <c r="M35" s="306"/>
      <c r="N35" s="306"/>
      <c r="O35" s="306"/>
      <c r="P35" s="306"/>
      <c r="Q35" s="306"/>
      <c r="R35" s="307"/>
    </row>
    <row r="36" spans="1:18" ht="16.05" customHeight="1" thickTop="1" x14ac:dyDescent="0.3">
      <c r="A36" s="327" t="s">
        <v>35</v>
      </c>
      <c r="B36" s="328"/>
      <c r="C36" s="328"/>
      <c r="D36" s="328"/>
      <c r="E36" s="329"/>
      <c r="F36" s="306"/>
      <c r="H36" s="340"/>
      <c r="I36" s="306"/>
      <c r="J36" s="306"/>
      <c r="K36" s="308"/>
      <c r="L36" s="306"/>
      <c r="M36" s="306"/>
      <c r="N36" s="306"/>
      <c r="O36" s="306"/>
      <c r="P36" s="306"/>
      <c r="Q36" s="306"/>
      <c r="R36" s="307"/>
    </row>
    <row r="37" spans="1:18" ht="13.05" customHeight="1" x14ac:dyDescent="0.25">
      <c r="A37" s="324"/>
      <c r="B37" s="325"/>
      <c r="C37" s="325"/>
      <c r="D37" s="325"/>
      <c r="E37" s="326"/>
      <c r="F37" s="306"/>
      <c r="H37" s="306"/>
      <c r="I37" s="306"/>
      <c r="J37" s="306"/>
      <c r="K37" s="308"/>
      <c r="L37" s="306"/>
      <c r="M37" s="306"/>
      <c r="N37" s="306"/>
      <c r="O37" s="306"/>
      <c r="P37" s="306"/>
      <c r="Q37" s="306"/>
      <c r="R37" s="307"/>
    </row>
    <row r="38" spans="1:18" ht="13.05" customHeight="1" x14ac:dyDescent="0.25">
      <c r="A38" s="5" t="s">
        <v>5</v>
      </c>
      <c r="B38" s="6" t="s">
        <v>37</v>
      </c>
      <c r="C38" s="6" t="s">
        <v>38</v>
      </c>
      <c r="D38" s="6" t="s">
        <v>39</v>
      </c>
      <c r="E38" s="7" t="s">
        <v>40</v>
      </c>
      <c r="F38" s="306"/>
      <c r="H38" s="8" t="s">
        <v>41</v>
      </c>
      <c r="I38" s="9"/>
      <c r="J38" s="306"/>
      <c r="K38" s="308"/>
      <c r="L38" s="306"/>
      <c r="M38" s="306"/>
      <c r="N38" s="306"/>
      <c r="O38" s="306"/>
      <c r="P38" s="306"/>
      <c r="Q38" s="306"/>
      <c r="R38" s="307"/>
    </row>
    <row r="39" spans="1:18" ht="12.6" customHeight="1" x14ac:dyDescent="0.25">
      <c r="A39" s="32">
        <v>5</v>
      </c>
      <c r="B39" s="10">
        <v>0</v>
      </c>
      <c r="C39" s="10">
        <v>0</v>
      </c>
      <c r="D39" s="10">
        <v>1</v>
      </c>
      <c r="E39" s="11">
        <v>2</v>
      </c>
      <c r="F39" s="306"/>
      <c r="H39" s="12" t="s">
        <v>42</v>
      </c>
      <c r="I39" s="13">
        <f>COUNTIF(I$5:I$34, "Beginning")</f>
        <v>25</v>
      </c>
      <c r="J39" s="306"/>
      <c r="K39" s="308"/>
      <c r="L39" s="306"/>
      <c r="M39" s="306"/>
      <c r="N39" s="306"/>
      <c r="O39" s="306"/>
      <c r="P39" s="306"/>
      <c r="Q39" s="306"/>
      <c r="R39" s="307"/>
    </row>
    <row r="40" spans="1:18" ht="12.6" customHeight="1" x14ac:dyDescent="0.25">
      <c r="A40" s="32">
        <v>6</v>
      </c>
      <c r="B40" s="10">
        <v>0</v>
      </c>
      <c r="C40" s="10">
        <v>1</v>
      </c>
      <c r="D40" s="10">
        <v>2</v>
      </c>
      <c r="E40" s="11">
        <v>3</v>
      </c>
      <c r="F40" s="306"/>
      <c r="H40" s="12" t="s">
        <v>38</v>
      </c>
      <c r="I40" s="13">
        <f>COUNTIF(I$5:I$34, "Progressing")</f>
        <v>1</v>
      </c>
      <c r="J40" s="306"/>
      <c r="K40" s="308"/>
      <c r="L40" s="306"/>
      <c r="M40" s="306"/>
      <c r="N40" s="306"/>
      <c r="O40" s="306"/>
      <c r="P40" s="306"/>
      <c r="Q40" s="306"/>
      <c r="R40" s="307"/>
    </row>
    <row r="41" spans="1:18" ht="12.6" customHeight="1" x14ac:dyDescent="0.25">
      <c r="A41" s="32">
        <v>7</v>
      </c>
      <c r="B41" s="10">
        <v>0</v>
      </c>
      <c r="C41" s="10">
        <v>1</v>
      </c>
      <c r="D41" s="10">
        <v>2</v>
      </c>
      <c r="E41" s="11">
        <v>3</v>
      </c>
      <c r="F41" s="306"/>
      <c r="H41" s="12" t="s">
        <v>43</v>
      </c>
      <c r="I41" s="13">
        <f>COUNTIF(I$5:I$34, "Achieving")</f>
        <v>0</v>
      </c>
      <c r="J41" s="306"/>
      <c r="K41" s="308"/>
      <c r="L41" s="306"/>
      <c r="M41" s="306"/>
      <c r="N41" s="306"/>
      <c r="O41" s="306"/>
      <c r="P41" s="306"/>
      <c r="Q41" s="306"/>
      <c r="R41" s="307"/>
    </row>
    <row r="42" spans="1:18" ht="12.6" customHeight="1" x14ac:dyDescent="0.25">
      <c r="A42" s="32">
        <v>8</v>
      </c>
      <c r="B42" s="10">
        <v>0</v>
      </c>
      <c r="C42" s="10">
        <v>1</v>
      </c>
      <c r="D42" s="10">
        <v>2</v>
      </c>
      <c r="E42" s="11">
        <v>3</v>
      </c>
      <c r="F42" s="306"/>
      <c r="H42" s="12" t="s">
        <v>40</v>
      </c>
      <c r="I42" s="13">
        <f>COUNTIF(I$5:I$34, "Excelling")</f>
        <v>0</v>
      </c>
      <c r="J42" s="306"/>
      <c r="K42" s="308"/>
      <c r="L42" s="306"/>
      <c r="M42" s="306"/>
      <c r="N42" s="306"/>
      <c r="O42" s="306"/>
      <c r="P42" s="306"/>
      <c r="Q42" s="306"/>
      <c r="R42" s="307"/>
    </row>
    <row r="43" spans="1:18" ht="12.6" customHeight="1" x14ac:dyDescent="0.25">
      <c r="A43" s="33">
        <v>9</v>
      </c>
      <c r="B43" s="10">
        <v>1</v>
      </c>
      <c r="C43" s="62">
        <v>4</v>
      </c>
      <c r="D43" s="10">
        <v>5</v>
      </c>
      <c r="E43" s="11"/>
      <c r="F43" s="306"/>
      <c r="H43" s="306"/>
      <c r="I43" s="306"/>
      <c r="J43" s="306"/>
      <c r="K43" s="308"/>
      <c r="L43" s="306"/>
      <c r="M43" s="306"/>
      <c r="N43" s="306"/>
      <c r="O43" s="306"/>
      <c r="P43" s="306"/>
      <c r="Q43" s="306"/>
      <c r="R43" s="307"/>
    </row>
    <row r="44" spans="1:18" ht="12.6" customHeight="1" x14ac:dyDescent="0.25">
      <c r="A44" s="32">
        <v>10</v>
      </c>
      <c r="B44" s="10">
        <v>2</v>
      </c>
      <c r="C44" s="62">
        <v>4</v>
      </c>
      <c r="D44" s="10">
        <v>5</v>
      </c>
      <c r="E44" s="11"/>
      <c r="F44" s="306"/>
      <c r="H44" s="306"/>
      <c r="I44" s="306"/>
      <c r="J44" s="306"/>
      <c r="K44" s="309"/>
      <c r="L44" s="310"/>
      <c r="M44" s="310"/>
      <c r="N44" s="310"/>
      <c r="O44" s="310"/>
      <c r="P44" s="310"/>
      <c r="Q44" s="310"/>
      <c r="R44" s="311"/>
    </row>
    <row r="45" spans="1:18" ht="13.05" customHeight="1" thickTop="1" x14ac:dyDescent="0.25">
      <c r="A45" s="32">
        <v>11</v>
      </c>
      <c r="B45" s="10">
        <v>2</v>
      </c>
      <c r="C45" s="62">
        <v>4</v>
      </c>
      <c r="D45" s="10">
        <v>5</v>
      </c>
      <c r="E45" s="11"/>
      <c r="F45" s="306"/>
      <c r="H45" s="306"/>
      <c r="I45" s="306"/>
      <c r="J45" s="306"/>
      <c r="K45" s="306"/>
      <c r="L45" s="306"/>
      <c r="M45" s="306"/>
      <c r="N45" s="306"/>
      <c r="O45" s="306"/>
      <c r="P45" s="306"/>
      <c r="Q45" s="306"/>
      <c r="R45" s="306"/>
    </row>
    <row r="46" spans="1:18" ht="13.05" customHeight="1" thickBot="1" x14ac:dyDescent="0.3">
      <c r="A46" s="34">
        <v>12</v>
      </c>
      <c r="B46" s="14">
        <v>2</v>
      </c>
      <c r="C46" s="63">
        <v>4</v>
      </c>
      <c r="D46" s="14">
        <v>5</v>
      </c>
      <c r="E46" s="15"/>
      <c r="F46" s="306"/>
      <c r="H46" s="306"/>
      <c r="I46" s="306"/>
      <c r="J46" s="306"/>
      <c r="K46" s="306"/>
      <c r="L46" s="306"/>
      <c r="M46" s="306"/>
      <c r="N46" s="306"/>
      <c r="O46" s="306"/>
      <c r="P46" s="306"/>
      <c r="Q46" s="306"/>
      <c r="R46" s="306"/>
    </row>
    <row r="47" spans="1:18" ht="15.75" customHeight="1" thickTop="1" x14ac:dyDescent="0.25"/>
    <row r="48" spans="1:18"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5">
    <mergeCell ref="C2:E2"/>
    <mergeCell ref="K3:R44"/>
    <mergeCell ref="K45:R46"/>
    <mergeCell ref="A1:I1"/>
    <mergeCell ref="J1:J46"/>
    <mergeCell ref="K1:R1"/>
    <mergeCell ref="K2:N2"/>
    <mergeCell ref="O2:R2"/>
    <mergeCell ref="A37:E37"/>
    <mergeCell ref="A36:E36"/>
    <mergeCell ref="F36:F46"/>
    <mergeCell ref="H36:I37"/>
    <mergeCell ref="H43:I46"/>
    <mergeCell ref="A2:B2"/>
    <mergeCell ref="F2:I2"/>
  </mergeCells>
  <conditionalFormatting sqref="I5:I34">
    <cfRule type="containsText" dxfId="209" priority="1" operator="containsText" text="Error">
      <formula>NOT(ISERROR(SEARCH("Error",I5)))</formula>
    </cfRule>
    <cfRule type="containsText" dxfId="208" priority="2" operator="containsText" text="Age Not Found">
      <formula>NOT(ISERROR(SEARCH("Age Not Found",I5)))</formula>
    </cfRule>
    <cfRule type="containsText" dxfId="207" priority="3" operator="containsText" text="Beginning">
      <formula>NOT(ISERROR(SEARCH("Beginning",I5)))</formula>
    </cfRule>
    <cfRule type="containsText" dxfId="206" priority="4" operator="containsText" text="Progressing">
      <formula>NOT(ISERROR(SEARCH("Progressing",I5)))</formula>
    </cfRule>
    <cfRule type="containsText" dxfId="205" priority="5" operator="containsText" text="Achieving">
      <formula>NOT(ISERROR(SEARCH("Achieving",I5)))</formula>
    </cfRule>
    <cfRule type="containsText" dxfId="204" priority="6" operator="containsText" text="Excelling">
      <formula>NOT(ISERROR(SEARCH("Excelling",I5)))</formula>
    </cfRule>
  </conditionalFormatting>
  <dataValidations count="2">
    <dataValidation type="list" allowBlank="1" showInputMessage="1" showErrorMessage="1" sqref="I5:I34" xr:uid="{00000000-0002-0000-0100-000000000000}">
      <formula1>$A$48:$A$52</formula1>
    </dataValidation>
    <dataValidation type="list" allowBlank="1" showInputMessage="1" showErrorMessage="1" sqref="B5:F34" xr:uid="{2E1F7BC4-22F9-4A80-8561-C961CF551F60}">
      <formula1>"1, 0"</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outlinePr summaryBelow="0" summaryRight="0"/>
  </sheetPr>
  <dimension ref="A1:R52"/>
  <sheetViews>
    <sheetView showGridLines="0" zoomScale="55" zoomScaleNormal="55" workbookViewId="0">
      <pane xSplit="1" ySplit="3" topLeftCell="B24" activePane="bottomRight" state="frozen"/>
      <selection activeCell="I5" sqref="I5:I34"/>
      <selection pane="topRight" activeCell="I5" sqref="I5:I34"/>
      <selection pane="bottomLeft" activeCell="I5" sqref="I5:I34"/>
      <selection pane="bottomRight" activeCell="A5" sqref="A5:I34"/>
    </sheetView>
  </sheetViews>
  <sheetFormatPr defaultColWidth="12.5546875" defaultRowHeight="15.75" customHeight="1" x14ac:dyDescent="0.25"/>
  <cols>
    <col min="1" max="1" width="27" customWidth="1"/>
    <col min="2" max="6" width="27.21875" customWidth="1"/>
    <col min="7" max="7" width="16" customWidth="1"/>
    <col min="18" max="18" width="25.77734375" customWidth="1"/>
  </cols>
  <sheetData>
    <row r="1" spans="1:18" s="206" customFormat="1" ht="30.6" customHeight="1" thickTop="1" thickBot="1" x14ac:dyDescent="0.55000000000000004">
      <c r="A1" s="312" t="s">
        <v>8</v>
      </c>
      <c r="B1" s="313"/>
      <c r="C1" s="313"/>
      <c r="D1" s="313"/>
      <c r="E1" s="313"/>
      <c r="F1" s="313"/>
      <c r="G1" s="313"/>
      <c r="H1" s="313"/>
      <c r="I1" s="314"/>
      <c r="J1" s="306"/>
      <c r="K1" s="341" t="s">
        <v>20</v>
      </c>
      <c r="L1" s="313"/>
      <c r="M1" s="313"/>
      <c r="N1" s="313"/>
      <c r="O1" s="313"/>
      <c r="P1" s="313"/>
      <c r="Q1" s="313"/>
      <c r="R1" s="314"/>
    </row>
    <row r="2" spans="1:18" s="206" customFormat="1" ht="40.200000000000003" customHeight="1" thickTop="1" thickBot="1" x14ac:dyDescent="0.5">
      <c r="A2" s="190" t="s">
        <v>55</v>
      </c>
      <c r="B2" s="331" t="s">
        <v>56</v>
      </c>
      <c r="C2" s="332"/>
      <c r="D2" s="332"/>
      <c r="E2" s="333"/>
      <c r="F2" s="331" t="s">
        <v>57</v>
      </c>
      <c r="G2" s="332"/>
      <c r="H2" s="332"/>
      <c r="I2" s="333"/>
      <c r="J2" s="306"/>
      <c r="K2" s="342" t="s">
        <v>24</v>
      </c>
      <c r="L2" s="343"/>
      <c r="M2" s="343"/>
      <c r="N2" s="344"/>
      <c r="O2" s="345"/>
      <c r="P2" s="346"/>
      <c r="Q2" s="346"/>
      <c r="R2" s="347"/>
    </row>
    <row r="3" spans="1:18" ht="39.6" customHeight="1" thickTop="1" thickBot="1" x14ac:dyDescent="0.3">
      <c r="A3" s="196" t="s">
        <v>25</v>
      </c>
      <c r="B3" s="37" t="s">
        <v>58</v>
      </c>
      <c r="C3" s="38" t="s">
        <v>59</v>
      </c>
      <c r="D3" s="39" t="s">
        <v>60</v>
      </c>
      <c r="E3" s="38" t="s">
        <v>61</v>
      </c>
      <c r="F3" s="40" t="s">
        <v>62</v>
      </c>
      <c r="G3" s="66" t="s">
        <v>5</v>
      </c>
      <c r="H3" s="41" t="s">
        <v>31</v>
      </c>
      <c r="I3" s="4" t="s">
        <v>32</v>
      </c>
      <c r="J3" s="306"/>
      <c r="K3" s="305"/>
      <c r="L3" s="306"/>
      <c r="M3" s="306"/>
      <c r="N3" s="306"/>
      <c r="O3" s="306"/>
      <c r="P3" s="306"/>
      <c r="Q3" s="306"/>
      <c r="R3" s="307"/>
    </row>
    <row r="4" spans="1:18" ht="13.05" customHeight="1" thickTop="1" x14ac:dyDescent="0.25">
      <c r="A4" s="189" t="s">
        <v>33</v>
      </c>
      <c r="B4" s="28">
        <v>6</v>
      </c>
      <c r="C4" s="30">
        <v>8</v>
      </c>
      <c r="D4" s="28">
        <v>6</v>
      </c>
      <c r="E4" s="30">
        <v>8</v>
      </c>
      <c r="F4" s="29">
        <v>7</v>
      </c>
      <c r="G4" s="2"/>
      <c r="H4" s="22"/>
      <c r="I4" s="23"/>
      <c r="J4" s="306"/>
      <c r="K4" s="308"/>
      <c r="L4" s="306"/>
      <c r="M4" s="306"/>
      <c r="N4" s="306"/>
      <c r="O4" s="306"/>
      <c r="P4" s="306"/>
      <c r="Q4" s="306"/>
      <c r="R4" s="307"/>
    </row>
    <row r="5" spans="1:18" ht="30" customHeight="1" x14ac:dyDescent="0.25">
      <c r="A5" s="198" t="str">
        <f>'Class List'!A5</f>
        <v>Student</v>
      </c>
      <c r="B5" s="199">
        <v>1</v>
      </c>
      <c r="C5" s="200">
        <v>1</v>
      </c>
      <c r="D5" s="200">
        <v>1</v>
      </c>
      <c r="E5" s="200">
        <v>1</v>
      </c>
      <c r="F5" s="200">
        <v>1</v>
      </c>
      <c r="G5" s="197">
        <f>'Class List'!$C5</f>
        <v>9</v>
      </c>
      <c r="H5" s="194">
        <f t="shared" ref="H5:H34" si="0">SUM(B5:F5)</f>
        <v>5</v>
      </c>
      <c r="I5" s="195" t="str">
        <f t="shared" ref="I5:I34" si="1">IFERROR(
   IF(H5 &lt;= INDEX($B$36:$B$46, MATCH(G5, $A$36:$A$46, 0)), "Beginning",
      IF(H5 &lt;= INDEX($C$36:$C$46, MATCH(G5, $A$36:$A$46, 0)), "Progressing",
         IF(H5 &lt;= INDEX($D$36:$D$46, MATCH(G5, $A$36:$A$46, 0)), "Achieving",
            IF(H5 &gt;= INDEX($E$36:$E$46, MATCH(G5, $A$36:$A$46, 0)), "Excelling", "Error")))),
   "Age Not Found")</f>
        <v>Achieving</v>
      </c>
      <c r="J5" s="306"/>
      <c r="K5" s="308"/>
      <c r="L5" s="306"/>
      <c r="M5" s="306"/>
      <c r="N5" s="306"/>
      <c r="O5" s="306"/>
      <c r="P5" s="306"/>
      <c r="Q5" s="306"/>
      <c r="R5" s="307"/>
    </row>
    <row r="6" spans="1:18" ht="30" customHeight="1" x14ac:dyDescent="0.25">
      <c r="A6" s="198" t="str">
        <f>'Class List'!A6</f>
        <v>Student</v>
      </c>
      <c r="B6" s="201">
        <v>0</v>
      </c>
      <c r="C6" s="202">
        <v>0</v>
      </c>
      <c r="D6" s="202">
        <v>0</v>
      </c>
      <c r="E6" s="202">
        <v>0</v>
      </c>
      <c r="F6" s="202">
        <v>0</v>
      </c>
      <c r="G6" s="197">
        <f>'Class List'!$C6</f>
        <v>10</v>
      </c>
      <c r="H6" s="194">
        <f t="shared" si="0"/>
        <v>0</v>
      </c>
      <c r="I6" s="195" t="str">
        <f t="shared" si="1"/>
        <v>Beginning</v>
      </c>
      <c r="J6" s="306"/>
      <c r="K6" s="308"/>
      <c r="L6" s="306"/>
      <c r="M6" s="306"/>
      <c r="N6" s="306"/>
      <c r="O6" s="306"/>
      <c r="P6" s="306"/>
      <c r="Q6" s="306"/>
      <c r="R6" s="307"/>
    </row>
    <row r="7" spans="1:18" ht="30" customHeight="1" x14ac:dyDescent="0.25">
      <c r="A7" s="198" t="str">
        <f>'Class List'!A7</f>
        <v>Student</v>
      </c>
      <c r="B7" s="201">
        <v>0</v>
      </c>
      <c r="C7" s="202">
        <v>0</v>
      </c>
      <c r="D7" s="202">
        <v>0</v>
      </c>
      <c r="E7" s="202">
        <v>0</v>
      </c>
      <c r="F7" s="202">
        <v>0</v>
      </c>
      <c r="G7" s="197">
        <f>'Class List'!$C7</f>
        <v>9</v>
      </c>
      <c r="H7" s="194">
        <f t="shared" si="0"/>
        <v>0</v>
      </c>
      <c r="I7" s="195" t="str">
        <f t="shared" si="1"/>
        <v>Beginning</v>
      </c>
      <c r="J7" s="306"/>
      <c r="K7" s="308"/>
      <c r="L7" s="306"/>
      <c r="M7" s="306"/>
      <c r="N7" s="306"/>
      <c r="O7" s="306"/>
      <c r="P7" s="306"/>
      <c r="Q7" s="306"/>
      <c r="R7" s="307"/>
    </row>
    <row r="8" spans="1:18" ht="30" customHeight="1" x14ac:dyDescent="0.25">
      <c r="A8" s="198" t="str">
        <f>'Class List'!A8</f>
        <v>Student</v>
      </c>
      <c r="B8" s="201">
        <v>0</v>
      </c>
      <c r="C8" s="202">
        <v>0</v>
      </c>
      <c r="D8" s="202">
        <v>0</v>
      </c>
      <c r="E8" s="202">
        <v>0</v>
      </c>
      <c r="F8" s="202">
        <v>0</v>
      </c>
      <c r="G8" s="197">
        <f>'Class List'!$C8</f>
        <v>10</v>
      </c>
      <c r="H8" s="194">
        <f t="shared" si="0"/>
        <v>0</v>
      </c>
      <c r="I8" s="195" t="str">
        <f t="shared" si="1"/>
        <v>Beginning</v>
      </c>
      <c r="J8" s="306"/>
      <c r="K8" s="308"/>
      <c r="L8" s="306"/>
      <c r="M8" s="306"/>
      <c r="N8" s="306"/>
      <c r="O8" s="306"/>
      <c r="P8" s="306"/>
      <c r="Q8" s="306"/>
      <c r="R8" s="307"/>
    </row>
    <row r="9" spans="1:18" ht="30" customHeight="1" x14ac:dyDescent="0.25">
      <c r="A9" s="198" t="str">
        <f>'Class List'!A9</f>
        <v>Student</v>
      </c>
      <c r="B9" s="201">
        <v>0</v>
      </c>
      <c r="C9" s="202">
        <v>0</v>
      </c>
      <c r="D9" s="202">
        <v>0</v>
      </c>
      <c r="E9" s="202">
        <v>0</v>
      </c>
      <c r="F9" s="202">
        <v>0</v>
      </c>
      <c r="G9" s="197">
        <f>'Class List'!$C9</f>
        <v>10</v>
      </c>
      <c r="H9" s="194">
        <f t="shared" si="0"/>
        <v>0</v>
      </c>
      <c r="I9" s="195" t="str">
        <f t="shared" si="1"/>
        <v>Beginning</v>
      </c>
      <c r="J9" s="306"/>
      <c r="K9" s="308"/>
      <c r="L9" s="306"/>
      <c r="M9" s="306"/>
      <c r="N9" s="306"/>
      <c r="O9" s="306"/>
      <c r="P9" s="306"/>
      <c r="Q9" s="306"/>
      <c r="R9" s="307"/>
    </row>
    <row r="10" spans="1:18" ht="30" customHeight="1" x14ac:dyDescent="0.25">
      <c r="A10" s="198" t="str">
        <f>'Class List'!A10</f>
        <v>Student</v>
      </c>
      <c r="B10" s="201">
        <v>0</v>
      </c>
      <c r="C10" s="202">
        <v>0</v>
      </c>
      <c r="D10" s="202">
        <v>0</v>
      </c>
      <c r="E10" s="202">
        <v>0</v>
      </c>
      <c r="F10" s="202">
        <v>0</v>
      </c>
      <c r="G10" s="197">
        <f>'Class List'!$C10</f>
        <v>10</v>
      </c>
      <c r="H10" s="194">
        <f t="shared" si="0"/>
        <v>0</v>
      </c>
      <c r="I10" s="195" t="str">
        <f t="shared" si="1"/>
        <v>Beginning</v>
      </c>
      <c r="J10" s="306"/>
      <c r="K10" s="308"/>
      <c r="L10" s="306"/>
      <c r="M10" s="306"/>
      <c r="N10" s="306"/>
      <c r="O10" s="306"/>
      <c r="P10" s="306"/>
      <c r="Q10" s="306"/>
      <c r="R10" s="307"/>
    </row>
    <row r="11" spans="1:18" ht="30" customHeight="1" x14ac:dyDescent="0.25">
      <c r="A11" s="198" t="str">
        <f>'Class List'!A11</f>
        <v>Student</v>
      </c>
      <c r="B11" s="201">
        <v>0</v>
      </c>
      <c r="C11" s="202">
        <v>0</v>
      </c>
      <c r="D11" s="202">
        <v>0</v>
      </c>
      <c r="E11" s="202">
        <v>0</v>
      </c>
      <c r="F11" s="202">
        <v>0</v>
      </c>
      <c r="G11" s="197">
        <f>'Class List'!$C11</f>
        <v>9</v>
      </c>
      <c r="H11" s="194">
        <f t="shared" si="0"/>
        <v>0</v>
      </c>
      <c r="I11" s="195" t="str">
        <f t="shared" si="1"/>
        <v>Beginning</v>
      </c>
      <c r="J11" s="306"/>
      <c r="K11" s="308"/>
      <c r="L11" s="306"/>
      <c r="M11" s="306"/>
      <c r="N11" s="306"/>
      <c r="O11" s="306"/>
      <c r="P11" s="306"/>
      <c r="Q11" s="306"/>
      <c r="R11" s="307"/>
    </row>
    <row r="12" spans="1:18" ht="30" customHeight="1" x14ac:dyDescent="0.25">
      <c r="A12" s="198" t="str">
        <f>'Class List'!A12</f>
        <v>Student</v>
      </c>
      <c r="B12" s="201">
        <v>0</v>
      </c>
      <c r="C12" s="202">
        <v>0</v>
      </c>
      <c r="D12" s="202">
        <v>0</v>
      </c>
      <c r="E12" s="202">
        <v>0</v>
      </c>
      <c r="F12" s="202">
        <v>0</v>
      </c>
      <c r="G12" s="197">
        <f>'Class List'!$C12</f>
        <v>9</v>
      </c>
      <c r="H12" s="194">
        <f t="shared" si="0"/>
        <v>0</v>
      </c>
      <c r="I12" s="195" t="str">
        <f t="shared" si="1"/>
        <v>Beginning</v>
      </c>
      <c r="J12" s="306"/>
      <c r="K12" s="308"/>
      <c r="L12" s="306"/>
      <c r="M12" s="306"/>
      <c r="N12" s="306"/>
      <c r="O12" s="306"/>
      <c r="P12" s="306"/>
      <c r="Q12" s="306"/>
      <c r="R12" s="307"/>
    </row>
    <row r="13" spans="1:18" ht="30" customHeight="1" x14ac:dyDescent="0.25">
      <c r="A13" s="198" t="str">
        <f>'Class List'!A13</f>
        <v>Student</v>
      </c>
      <c r="B13" s="201">
        <v>0</v>
      </c>
      <c r="C13" s="202">
        <v>0</v>
      </c>
      <c r="D13" s="202">
        <v>0</v>
      </c>
      <c r="E13" s="202">
        <v>0</v>
      </c>
      <c r="F13" s="202">
        <v>0</v>
      </c>
      <c r="G13" s="197">
        <f>'Class List'!$C13</f>
        <v>9</v>
      </c>
      <c r="H13" s="194">
        <f t="shared" si="0"/>
        <v>0</v>
      </c>
      <c r="I13" s="195" t="str">
        <f t="shared" si="1"/>
        <v>Beginning</v>
      </c>
      <c r="J13" s="306"/>
      <c r="K13" s="308"/>
      <c r="L13" s="306"/>
      <c r="M13" s="306"/>
      <c r="N13" s="306"/>
      <c r="O13" s="306"/>
      <c r="P13" s="306"/>
      <c r="Q13" s="306"/>
      <c r="R13" s="307"/>
    </row>
    <row r="14" spans="1:18" ht="30" customHeight="1" x14ac:dyDescent="0.25">
      <c r="A14" s="198" t="str">
        <f>'Class List'!A14</f>
        <v>Student</v>
      </c>
      <c r="B14" s="201">
        <v>0</v>
      </c>
      <c r="C14" s="202">
        <v>0</v>
      </c>
      <c r="D14" s="202">
        <v>0</v>
      </c>
      <c r="E14" s="202">
        <v>0</v>
      </c>
      <c r="F14" s="202">
        <v>0</v>
      </c>
      <c r="G14" s="197">
        <f>'Class List'!$C14</f>
        <v>9</v>
      </c>
      <c r="H14" s="194">
        <f t="shared" si="0"/>
        <v>0</v>
      </c>
      <c r="I14" s="195" t="str">
        <f t="shared" si="1"/>
        <v>Beginning</v>
      </c>
      <c r="J14" s="306"/>
      <c r="K14" s="308"/>
      <c r="L14" s="306"/>
      <c r="M14" s="306"/>
      <c r="N14" s="306"/>
      <c r="O14" s="306"/>
      <c r="P14" s="306"/>
      <c r="Q14" s="306"/>
      <c r="R14" s="307"/>
    </row>
    <row r="15" spans="1:18" ht="30" customHeight="1" x14ac:dyDescent="0.25">
      <c r="A15" s="198" t="str">
        <f>'Class List'!A15</f>
        <v>Student</v>
      </c>
      <c r="B15" s="201">
        <v>0</v>
      </c>
      <c r="C15" s="202">
        <v>0</v>
      </c>
      <c r="D15" s="202">
        <v>0</v>
      </c>
      <c r="E15" s="202">
        <v>0</v>
      </c>
      <c r="F15" s="202">
        <v>0</v>
      </c>
      <c r="G15" s="197">
        <f>'Class List'!$C15</f>
        <v>10</v>
      </c>
      <c r="H15" s="194">
        <f t="shared" si="0"/>
        <v>0</v>
      </c>
      <c r="I15" s="195" t="str">
        <f t="shared" si="1"/>
        <v>Beginning</v>
      </c>
      <c r="J15" s="306"/>
      <c r="K15" s="308"/>
      <c r="L15" s="306"/>
      <c r="M15" s="306"/>
      <c r="N15" s="306"/>
      <c r="O15" s="306"/>
      <c r="P15" s="306"/>
      <c r="Q15" s="306"/>
      <c r="R15" s="307"/>
    </row>
    <row r="16" spans="1:18" ht="30" customHeight="1" x14ac:dyDescent="0.25">
      <c r="A16" s="198" t="str">
        <f>'Class List'!A16</f>
        <v>Student</v>
      </c>
      <c r="B16" s="201">
        <v>0</v>
      </c>
      <c r="C16" s="202">
        <v>0</v>
      </c>
      <c r="D16" s="202">
        <v>0</v>
      </c>
      <c r="E16" s="202">
        <v>0</v>
      </c>
      <c r="F16" s="202">
        <v>0</v>
      </c>
      <c r="G16" s="197">
        <f>'Class List'!$C16</f>
        <v>9</v>
      </c>
      <c r="H16" s="194">
        <f t="shared" si="0"/>
        <v>0</v>
      </c>
      <c r="I16" s="195" t="str">
        <f t="shared" si="1"/>
        <v>Beginning</v>
      </c>
      <c r="J16" s="306"/>
      <c r="K16" s="308"/>
      <c r="L16" s="306"/>
      <c r="M16" s="306"/>
      <c r="N16" s="306"/>
      <c r="O16" s="306"/>
      <c r="P16" s="306"/>
      <c r="Q16" s="306"/>
      <c r="R16" s="307"/>
    </row>
    <row r="17" spans="1:18" ht="30" customHeight="1" x14ac:dyDescent="0.25">
      <c r="A17" s="198" t="str">
        <f>'Class List'!A17</f>
        <v>Student</v>
      </c>
      <c r="B17" s="201">
        <v>0</v>
      </c>
      <c r="C17" s="202">
        <v>0</v>
      </c>
      <c r="D17" s="202">
        <v>0</v>
      </c>
      <c r="E17" s="202">
        <v>0</v>
      </c>
      <c r="F17" s="202">
        <v>0</v>
      </c>
      <c r="G17" s="197">
        <f>'Class List'!$C17</f>
        <v>9</v>
      </c>
      <c r="H17" s="194">
        <f t="shared" si="0"/>
        <v>0</v>
      </c>
      <c r="I17" s="195" t="str">
        <f t="shared" si="1"/>
        <v>Beginning</v>
      </c>
      <c r="J17" s="306"/>
      <c r="K17" s="308"/>
      <c r="L17" s="306"/>
      <c r="M17" s="306"/>
      <c r="N17" s="306"/>
      <c r="O17" s="306"/>
      <c r="P17" s="306"/>
      <c r="Q17" s="306"/>
      <c r="R17" s="307"/>
    </row>
    <row r="18" spans="1:18" ht="30" customHeight="1" x14ac:dyDescent="0.25">
      <c r="A18" s="198" t="str">
        <f>'Class List'!A18</f>
        <v>Student</v>
      </c>
      <c r="B18" s="201">
        <v>0</v>
      </c>
      <c r="C18" s="202">
        <v>0</v>
      </c>
      <c r="D18" s="202">
        <v>0</v>
      </c>
      <c r="E18" s="202">
        <v>0</v>
      </c>
      <c r="F18" s="202">
        <v>0</v>
      </c>
      <c r="G18" s="197">
        <f>'Class List'!$C18</f>
        <v>10</v>
      </c>
      <c r="H18" s="194">
        <f t="shared" si="0"/>
        <v>0</v>
      </c>
      <c r="I18" s="195" t="str">
        <f t="shared" si="1"/>
        <v>Beginning</v>
      </c>
      <c r="J18" s="306"/>
      <c r="K18" s="308"/>
      <c r="L18" s="306"/>
      <c r="M18" s="306"/>
      <c r="N18" s="306"/>
      <c r="O18" s="306"/>
      <c r="P18" s="306"/>
      <c r="Q18" s="306"/>
      <c r="R18" s="307"/>
    </row>
    <row r="19" spans="1:18" ht="30" customHeight="1" x14ac:dyDescent="0.25">
      <c r="A19" s="198" t="str">
        <f>'Class List'!A19</f>
        <v>Student</v>
      </c>
      <c r="B19" s="201">
        <v>0</v>
      </c>
      <c r="C19" s="202">
        <v>0</v>
      </c>
      <c r="D19" s="202">
        <v>0</v>
      </c>
      <c r="E19" s="202">
        <v>0</v>
      </c>
      <c r="F19" s="202">
        <v>0</v>
      </c>
      <c r="G19" s="197">
        <f>'Class List'!$C19</f>
        <v>10</v>
      </c>
      <c r="H19" s="194">
        <f t="shared" si="0"/>
        <v>0</v>
      </c>
      <c r="I19" s="195" t="str">
        <f t="shared" si="1"/>
        <v>Beginning</v>
      </c>
      <c r="J19" s="306"/>
      <c r="K19" s="308"/>
      <c r="L19" s="306"/>
      <c r="M19" s="306"/>
      <c r="N19" s="306"/>
      <c r="O19" s="306"/>
      <c r="P19" s="306"/>
      <c r="Q19" s="306"/>
      <c r="R19" s="307"/>
    </row>
    <row r="20" spans="1:18" ht="30" customHeight="1" x14ac:dyDescent="0.25">
      <c r="A20" s="198" t="str">
        <f>'Class List'!A20</f>
        <v>Student</v>
      </c>
      <c r="B20" s="201">
        <v>0</v>
      </c>
      <c r="C20" s="202">
        <v>0</v>
      </c>
      <c r="D20" s="202">
        <v>0</v>
      </c>
      <c r="E20" s="202">
        <v>0</v>
      </c>
      <c r="F20" s="202">
        <v>0</v>
      </c>
      <c r="G20" s="197">
        <f>'Class List'!$C20</f>
        <v>10</v>
      </c>
      <c r="H20" s="194">
        <f t="shared" si="0"/>
        <v>0</v>
      </c>
      <c r="I20" s="195" t="str">
        <f t="shared" si="1"/>
        <v>Beginning</v>
      </c>
      <c r="J20" s="306"/>
      <c r="K20" s="308"/>
      <c r="L20" s="306"/>
      <c r="M20" s="306"/>
      <c r="N20" s="306"/>
      <c r="O20" s="306"/>
      <c r="P20" s="306"/>
      <c r="Q20" s="306"/>
      <c r="R20" s="307"/>
    </row>
    <row r="21" spans="1:18" ht="30" customHeight="1" x14ac:dyDescent="0.25">
      <c r="A21" s="198" t="str">
        <f>'Class List'!A21</f>
        <v>Student</v>
      </c>
      <c r="B21" s="201">
        <v>0</v>
      </c>
      <c r="C21" s="202">
        <v>0</v>
      </c>
      <c r="D21" s="202">
        <v>0</v>
      </c>
      <c r="E21" s="202">
        <v>0</v>
      </c>
      <c r="F21" s="202">
        <v>0</v>
      </c>
      <c r="G21" s="197">
        <f>'Class List'!$C21</f>
        <v>9</v>
      </c>
      <c r="H21" s="194">
        <f t="shared" si="0"/>
        <v>0</v>
      </c>
      <c r="I21" s="195" t="str">
        <f t="shared" si="1"/>
        <v>Beginning</v>
      </c>
      <c r="J21" s="306"/>
      <c r="K21" s="308"/>
      <c r="L21" s="306"/>
      <c r="M21" s="306"/>
      <c r="N21" s="306"/>
      <c r="O21" s="306"/>
      <c r="P21" s="306"/>
      <c r="Q21" s="306"/>
      <c r="R21" s="307"/>
    </row>
    <row r="22" spans="1:18" ht="30" customHeight="1" x14ac:dyDescent="0.25">
      <c r="A22" s="198" t="str">
        <f>'Class List'!A22</f>
        <v>Student</v>
      </c>
      <c r="B22" s="201">
        <v>0</v>
      </c>
      <c r="C22" s="202">
        <v>0</v>
      </c>
      <c r="D22" s="202">
        <v>0</v>
      </c>
      <c r="E22" s="202">
        <v>0</v>
      </c>
      <c r="F22" s="202">
        <v>0</v>
      </c>
      <c r="G22" s="197">
        <f>'Class List'!$C22</f>
        <v>10</v>
      </c>
      <c r="H22" s="194">
        <f t="shared" si="0"/>
        <v>0</v>
      </c>
      <c r="I22" s="195" t="str">
        <f t="shared" si="1"/>
        <v>Beginning</v>
      </c>
      <c r="J22" s="306"/>
      <c r="K22" s="308"/>
      <c r="L22" s="306"/>
      <c r="M22" s="306"/>
      <c r="N22" s="306"/>
      <c r="O22" s="306"/>
      <c r="P22" s="306"/>
      <c r="Q22" s="306"/>
      <c r="R22" s="307"/>
    </row>
    <row r="23" spans="1:18" ht="30" customHeight="1" x14ac:dyDescent="0.25">
      <c r="A23" s="198" t="str">
        <f>'Class List'!A23</f>
        <v>Student</v>
      </c>
      <c r="B23" s="201">
        <v>0</v>
      </c>
      <c r="C23" s="202">
        <v>0</v>
      </c>
      <c r="D23" s="202">
        <v>0</v>
      </c>
      <c r="E23" s="202">
        <v>0</v>
      </c>
      <c r="F23" s="202">
        <v>0</v>
      </c>
      <c r="G23" s="197">
        <f>'Class List'!$C23</f>
        <v>10</v>
      </c>
      <c r="H23" s="194">
        <f t="shared" si="0"/>
        <v>0</v>
      </c>
      <c r="I23" s="195" t="str">
        <f t="shared" si="1"/>
        <v>Beginning</v>
      </c>
      <c r="J23" s="306"/>
      <c r="K23" s="308"/>
      <c r="L23" s="306"/>
      <c r="M23" s="306"/>
      <c r="N23" s="306"/>
      <c r="O23" s="306"/>
      <c r="P23" s="306"/>
      <c r="Q23" s="306"/>
      <c r="R23" s="307"/>
    </row>
    <row r="24" spans="1:18" ht="30" customHeight="1" x14ac:dyDescent="0.25">
      <c r="A24" s="198" t="str">
        <f>'Class List'!A24</f>
        <v>Student</v>
      </c>
      <c r="B24" s="201">
        <v>0</v>
      </c>
      <c r="C24" s="202">
        <v>0</v>
      </c>
      <c r="D24" s="202">
        <v>0</v>
      </c>
      <c r="E24" s="202">
        <v>0</v>
      </c>
      <c r="F24" s="202">
        <v>0</v>
      </c>
      <c r="G24" s="197">
        <f>'Class List'!$C24</f>
        <v>9</v>
      </c>
      <c r="H24" s="194">
        <f t="shared" si="0"/>
        <v>0</v>
      </c>
      <c r="I24" s="195" t="str">
        <f t="shared" si="1"/>
        <v>Beginning</v>
      </c>
      <c r="J24" s="306"/>
      <c r="K24" s="308"/>
      <c r="L24" s="306"/>
      <c r="M24" s="306"/>
      <c r="N24" s="306"/>
      <c r="O24" s="306"/>
      <c r="P24" s="306"/>
      <c r="Q24" s="306"/>
      <c r="R24" s="307"/>
    </row>
    <row r="25" spans="1:18" ht="30" customHeight="1" x14ac:dyDescent="0.25">
      <c r="A25" s="198" t="str">
        <f>'Class List'!A25</f>
        <v>Student</v>
      </c>
      <c r="B25" s="201">
        <v>0</v>
      </c>
      <c r="C25" s="202">
        <v>0</v>
      </c>
      <c r="D25" s="202">
        <v>0</v>
      </c>
      <c r="E25" s="202">
        <v>0</v>
      </c>
      <c r="F25" s="202">
        <v>0</v>
      </c>
      <c r="G25" s="197">
        <f>'Class List'!$C25</f>
        <v>10</v>
      </c>
      <c r="H25" s="194">
        <f t="shared" si="0"/>
        <v>0</v>
      </c>
      <c r="I25" s="195" t="str">
        <f t="shared" si="1"/>
        <v>Beginning</v>
      </c>
      <c r="J25" s="306"/>
      <c r="K25" s="308"/>
      <c r="L25" s="306"/>
      <c r="M25" s="306"/>
      <c r="N25" s="306"/>
      <c r="O25" s="306"/>
      <c r="P25" s="306"/>
      <c r="Q25" s="306"/>
      <c r="R25" s="307"/>
    </row>
    <row r="26" spans="1:18" ht="30" customHeight="1" x14ac:dyDescent="0.25">
      <c r="A26" s="198" t="str">
        <f>'Class List'!A26</f>
        <v>Student</v>
      </c>
      <c r="B26" s="201">
        <v>0</v>
      </c>
      <c r="C26" s="202">
        <v>0</v>
      </c>
      <c r="D26" s="202">
        <v>0</v>
      </c>
      <c r="E26" s="202">
        <v>0</v>
      </c>
      <c r="F26" s="202">
        <v>0</v>
      </c>
      <c r="G26" s="197">
        <f>'Class List'!$C26</f>
        <v>10</v>
      </c>
      <c r="H26" s="194">
        <f t="shared" si="0"/>
        <v>0</v>
      </c>
      <c r="I26" s="195" t="str">
        <f t="shared" si="1"/>
        <v>Beginning</v>
      </c>
      <c r="J26" s="306"/>
      <c r="K26" s="308"/>
      <c r="L26" s="306"/>
      <c r="M26" s="306"/>
      <c r="N26" s="306"/>
      <c r="O26" s="306"/>
      <c r="P26" s="306"/>
      <c r="Q26" s="306"/>
      <c r="R26" s="307"/>
    </row>
    <row r="27" spans="1:18" ht="30" customHeight="1" x14ac:dyDescent="0.25">
      <c r="A27" s="198" t="str">
        <f>'Class List'!A27</f>
        <v>Student</v>
      </c>
      <c r="B27" s="201">
        <v>0</v>
      </c>
      <c r="C27" s="202">
        <v>0</v>
      </c>
      <c r="D27" s="202">
        <v>0</v>
      </c>
      <c r="E27" s="202">
        <v>0</v>
      </c>
      <c r="F27" s="202">
        <v>0</v>
      </c>
      <c r="G27" s="197">
        <f>'Class List'!$C27</f>
        <v>9</v>
      </c>
      <c r="H27" s="194">
        <f t="shared" si="0"/>
        <v>0</v>
      </c>
      <c r="I27" s="195" t="str">
        <f t="shared" si="1"/>
        <v>Beginning</v>
      </c>
      <c r="J27" s="306"/>
      <c r="K27" s="308"/>
      <c r="L27" s="306"/>
      <c r="M27" s="306"/>
      <c r="N27" s="306"/>
      <c r="O27" s="306"/>
      <c r="P27" s="306"/>
      <c r="Q27" s="306"/>
      <c r="R27" s="307"/>
    </row>
    <row r="28" spans="1:18" ht="30" customHeight="1" x14ac:dyDescent="0.25">
      <c r="A28" s="198" t="str">
        <f>'Class List'!A28</f>
        <v>Student</v>
      </c>
      <c r="B28" s="201">
        <v>0</v>
      </c>
      <c r="C28" s="202">
        <v>0</v>
      </c>
      <c r="D28" s="202">
        <v>0</v>
      </c>
      <c r="E28" s="202">
        <v>0</v>
      </c>
      <c r="F28" s="202">
        <v>0</v>
      </c>
      <c r="G28" s="197">
        <f>'Class List'!$C28</f>
        <v>9</v>
      </c>
      <c r="H28" s="194">
        <f t="shared" si="0"/>
        <v>0</v>
      </c>
      <c r="I28" s="195" t="str">
        <f t="shared" si="1"/>
        <v>Beginning</v>
      </c>
      <c r="J28" s="306"/>
      <c r="K28" s="308"/>
      <c r="L28" s="306"/>
      <c r="M28" s="306"/>
      <c r="N28" s="306"/>
      <c r="O28" s="306"/>
      <c r="P28" s="306"/>
      <c r="Q28" s="306"/>
      <c r="R28" s="307"/>
    </row>
    <row r="29" spans="1:18" ht="30" customHeight="1" x14ac:dyDescent="0.25">
      <c r="A29" s="198" t="str">
        <f>'Class List'!A29</f>
        <v>Student</v>
      </c>
      <c r="B29" s="201">
        <v>0</v>
      </c>
      <c r="C29" s="202">
        <v>0</v>
      </c>
      <c r="D29" s="202">
        <v>0</v>
      </c>
      <c r="E29" s="202">
        <v>0</v>
      </c>
      <c r="F29" s="202">
        <v>0</v>
      </c>
      <c r="G29" s="197">
        <f>'Class List'!$C29</f>
        <v>9</v>
      </c>
      <c r="H29" s="194">
        <f t="shared" si="0"/>
        <v>0</v>
      </c>
      <c r="I29" s="195" t="str">
        <f t="shared" si="1"/>
        <v>Beginning</v>
      </c>
      <c r="J29" s="306"/>
      <c r="K29" s="308"/>
      <c r="L29" s="306"/>
      <c r="M29" s="306"/>
      <c r="N29" s="306"/>
      <c r="O29" s="306"/>
      <c r="P29" s="306"/>
      <c r="Q29" s="306"/>
      <c r="R29" s="307"/>
    </row>
    <row r="30" spans="1:18" ht="30" customHeight="1" x14ac:dyDescent="0.25">
      <c r="A30" s="198" t="str">
        <f>'Class List'!A30</f>
        <v>Student</v>
      </c>
      <c r="B30" s="201">
        <v>0</v>
      </c>
      <c r="C30" s="202">
        <v>0</v>
      </c>
      <c r="D30" s="202">
        <v>0</v>
      </c>
      <c r="E30" s="202">
        <v>0</v>
      </c>
      <c r="F30" s="202">
        <v>0</v>
      </c>
      <c r="G30" s="197">
        <f>'Class List'!$C30</f>
        <v>9</v>
      </c>
      <c r="H30" s="194">
        <f t="shared" si="0"/>
        <v>0</v>
      </c>
      <c r="I30" s="195" t="str">
        <f t="shared" si="1"/>
        <v>Beginning</v>
      </c>
      <c r="J30" s="306"/>
      <c r="K30" s="308"/>
      <c r="L30" s="306"/>
      <c r="M30" s="306"/>
      <c r="N30" s="306"/>
      <c r="O30" s="306"/>
      <c r="P30" s="306"/>
      <c r="Q30" s="306"/>
      <c r="R30" s="307"/>
    </row>
    <row r="31" spans="1:18" ht="30" customHeight="1" x14ac:dyDescent="0.25">
      <c r="A31" s="198">
        <f>'Class List'!A31</f>
        <v>0</v>
      </c>
      <c r="B31" s="201">
        <v>0</v>
      </c>
      <c r="C31" s="202">
        <v>0</v>
      </c>
      <c r="D31" s="202">
        <v>0</v>
      </c>
      <c r="E31" s="202">
        <v>0</v>
      </c>
      <c r="F31" s="202">
        <v>0</v>
      </c>
      <c r="G31" s="197">
        <f>'Class List'!$C31</f>
        <v>0</v>
      </c>
      <c r="H31" s="194">
        <f t="shared" si="0"/>
        <v>0</v>
      </c>
      <c r="I31" s="195" t="str">
        <f t="shared" si="1"/>
        <v>Age Not Found</v>
      </c>
      <c r="J31" s="306"/>
      <c r="K31" s="308"/>
      <c r="L31" s="306"/>
      <c r="M31" s="306"/>
      <c r="N31" s="306"/>
      <c r="O31" s="306"/>
      <c r="P31" s="306"/>
      <c r="Q31" s="306"/>
      <c r="R31" s="307"/>
    </row>
    <row r="32" spans="1:18" ht="30" customHeight="1" x14ac:dyDescent="0.25">
      <c r="A32" s="198">
        <f>'Class List'!A32</f>
        <v>0</v>
      </c>
      <c r="B32" s="201">
        <v>0</v>
      </c>
      <c r="C32" s="202">
        <v>0</v>
      </c>
      <c r="D32" s="202">
        <v>0</v>
      </c>
      <c r="E32" s="202">
        <v>0</v>
      </c>
      <c r="F32" s="202">
        <v>0</v>
      </c>
      <c r="G32" s="197">
        <f>'Class List'!$C32</f>
        <v>0</v>
      </c>
      <c r="H32" s="194">
        <f t="shared" si="0"/>
        <v>0</v>
      </c>
      <c r="I32" s="195" t="str">
        <f t="shared" si="1"/>
        <v>Age Not Found</v>
      </c>
      <c r="J32" s="306"/>
      <c r="K32" s="308"/>
      <c r="L32" s="306"/>
      <c r="M32" s="306"/>
      <c r="N32" s="306"/>
      <c r="O32" s="306"/>
      <c r="P32" s="306"/>
      <c r="Q32" s="306"/>
      <c r="R32" s="307"/>
    </row>
    <row r="33" spans="1:18" ht="30" customHeight="1" x14ac:dyDescent="0.25">
      <c r="A33" s="198">
        <f>'Class List'!A33</f>
        <v>0</v>
      </c>
      <c r="B33" s="201">
        <v>0</v>
      </c>
      <c r="C33" s="202">
        <v>0</v>
      </c>
      <c r="D33" s="202">
        <v>0</v>
      </c>
      <c r="E33" s="202">
        <v>0</v>
      </c>
      <c r="F33" s="202">
        <v>0</v>
      </c>
      <c r="G33" s="197">
        <f>'Class List'!$C33</f>
        <v>0</v>
      </c>
      <c r="H33" s="194">
        <f t="shared" si="0"/>
        <v>0</v>
      </c>
      <c r="I33" s="195" t="str">
        <f t="shared" si="1"/>
        <v>Age Not Found</v>
      </c>
      <c r="J33" s="306"/>
      <c r="K33" s="308"/>
      <c r="L33" s="306"/>
      <c r="M33" s="306"/>
      <c r="N33" s="306"/>
      <c r="O33" s="306"/>
      <c r="P33" s="306"/>
      <c r="Q33" s="306"/>
      <c r="R33" s="307"/>
    </row>
    <row r="34" spans="1:18" ht="30" customHeight="1" thickBot="1" x14ac:dyDescent="0.3">
      <c r="A34" s="198">
        <f>'Class List'!A34</f>
        <v>0</v>
      </c>
      <c r="B34" s="203">
        <v>0</v>
      </c>
      <c r="C34" s="204">
        <v>0</v>
      </c>
      <c r="D34" s="204">
        <v>0</v>
      </c>
      <c r="E34" s="204">
        <v>0</v>
      </c>
      <c r="F34" s="204">
        <v>0</v>
      </c>
      <c r="G34" s="197">
        <f>'Class List'!$C34</f>
        <v>0</v>
      </c>
      <c r="H34" s="194">
        <f t="shared" si="0"/>
        <v>0</v>
      </c>
      <c r="I34" s="195" t="str">
        <f t="shared" si="1"/>
        <v>Age Not Found</v>
      </c>
      <c r="J34" s="306"/>
      <c r="K34" s="308"/>
      <c r="L34" s="306"/>
      <c r="M34" s="306"/>
      <c r="N34" s="306"/>
      <c r="O34" s="306"/>
      <c r="P34" s="306"/>
      <c r="Q34" s="306"/>
      <c r="R34" s="307"/>
    </row>
    <row r="35" spans="1:18" ht="14.1" customHeight="1" thickTop="1" thickBot="1" x14ac:dyDescent="0.3">
      <c r="A35" s="191" t="s">
        <v>34</v>
      </c>
      <c r="B35" s="192">
        <f>SUM(B5:B34)</f>
        <v>1</v>
      </c>
      <c r="C35" s="192">
        <f>SUM(C5:C34)</f>
        <v>1</v>
      </c>
      <c r="D35" s="192">
        <f>SUM(D5:D34)</f>
        <v>1</v>
      </c>
      <c r="E35" s="192">
        <f>SUM(E5:E34)</f>
        <v>1</v>
      </c>
      <c r="F35" s="192">
        <f>SUM(F5:F34)</f>
        <v>1</v>
      </c>
      <c r="G35" s="192"/>
      <c r="H35" s="192"/>
      <c r="I35" s="193"/>
      <c r="J35" s="306"/>
      <c r="K35" s="308"/>
      <c r="L35" s="306"/>
      <c r="M35" s="306"/>
      <c r="N35" s="306"/>
      <c r="O35" s="306"/>
      <c r="P35" s="306"/>
      <c r="Q35" s="306"/>
      <c r="R35" s="307"/>
    </row>
    <row r="36" spans="1:18" ht="16.05" customHeight="1" thickTop="1" x14ac:dyDescent="0.3">
      <c r="A36" s="327" t="s">
        <v>35</v>
      </c>
      <c r="B36" s="328"/>
      <c r="C36" s="328"/>
      <c r="D36" s="328"/>
      <c r="E36" s="329"/>
      <c r="H36" s="340"/>
      <c r="I36" s="306"/>
      <c r="J36" s="306"/>
      <c r="K36" s="308"/>
      <c r="L36" s="306"/>
      <c r="M36" s="306"/>
      <c r="N36" s="306"/>
      <c r="O36" s="306"/>
      <c r="P36" s="306"/>
      <c r="Q36" s="306"/>
      <c r="R36" s="307"/>
    </row>
    <row r="37" spans="1:18" ht="13.05" customHeight="1" x14ac:dyDescent="0.25">
      <c r="A37" s="324"/>
      <c r="B37" s="325"/>
      <c r="C37" s="325"/>
      <c r="D37" s="325"/>
      <c r="E37" s="326"/>
      <c r="H37" s="306"/>
      <c r="I37" s="306"/>
      <c r="J37" s="306"/>
      <c r="K37" s="308"/>
      <c r="L37" s="306"/>
      <c r="M37" s="306"/>
      <c r="N37" s="306"/>
      <c r="O37" s="306"/>
      <c r="P37" s="306"/>
      <c r="Q37" s="306"/>
      <c r="R37" s="307"/>
    </row>
    <row r="38" spans="1:18" ht="13.05" customHeight="1" x14ac:dyDescent="0.25">
      <c r="A38" s="5" t="s">
        <v>5</v>
      </c>
      <c r="B38" s="6" t="s">
        <v>37</v>
      </c>
      <c r="C38" s="6" t="s">
        <v>38</v>
      </c>
      <c r="D38" s="6" t="s">
        <v>39</v>
      </c>
      <c r="E38" s="7" t="s">
        <v>40</v>
      </c>
      <c r="H38" s="8" t="s">
        <v>41</v>
      </c>
      <c r="I38" s="9"/>
      <c r="J38" s="306"/>
      <c r="K38" s="308"/>
      <c r="L38" s="306"/>
      <c r="M38" s="306"/>
      <c r="N38" s="306"/>
      <c r="O38" s="306"/>
      <c r="P38" s="306"/>
      <c r="Q38" s="306"/>
      <c r="R38" s="307"/>
    </row>
    <row r="39" spans="1:18" ht="12.6" customHeight="1" x14ac:dyDescent="0.25">
      <c r="A39" s="32">
        <v>5</v>
      </c>
      <c r="B39" s="10">
        <v>0</v>
      </c>
      <c r="C39" s="10">
        <v>0</v>
      </c>
      <c r="D39" s="10">
        <v>0</v>
      </c>
      <c r="E39" s="11">
        <v>1</v>
      </c>
      <c r="H39" s="12" t="s">
        <v>42</v>
      </c>
      <c r="I39" s="13">
        <f>COUNTIF(I$5:I$34, "Beginning")</f>
        <v>25</v>
      </c>
      <c r="J39" s="306"/>
      <c r="K39" s="308"/>
      <c r="L39" s="306"/>
      <c r="M39" s="306"/>
      <c r="N39" s="306"/>
      <c r="O39" s="306"/>
      <c r="P39" s="306"/>
      <c r="Q39" s="306"/>
      <c r="R39" s="307"/>
    </row>
    <row r="40" spans="1:18" ht="12.6" customHeight="1" x14ac:dyDescent="0.25">
      <c r="A40" s="32">
        <v>6</v>
      </c>
      <c r="B40" s="10">
        <v>0</v>
      </c>
      <c r="C40" s="10">
        <v>1</v>
      </c>
      <c r="D40" s="10">
        <v>2</v>
      </c>
      <c r="E40" s="11">
        <v>3</v>
      </c>
      <c r="H40" s="12" t="s">
        <v>38</v>
      </c>
      <c r="I40" s="13">
        <f>COUNTIF(I$5:I$34, "Progressing")</f>
        <v>0</v>
      </c>
      <c r="J40" s="306"/>
      <c r="K40" s="308"/>
      <c r="L40" s="306"/>
      <c r="M40" s="306"/>
      <c r="N40" s="306"/>
      <c r="O40" s="306"/>
      <c r="P40" s="306"/>
      <c r="Q40" s="306"/>
      <c r="R40" s="307"/>
    </row>
    <row r="41" spans="1:18" ht="12.6" customHeight="1" x14ac:dyDescent="0.25">
      <c r="A41" s="32">
        <v>7</v>
      </c>
      <c r="B41" s="10">
        <v>1</v>
      </c>
      <c r="C41" s="10">
        <v>2</v>
      </c>
      <c r="D41" s="10">
        <v>3</v>
      </c>
      <c r="E41" s="11">
        <v>4</v>
      </c>
      <c r="H41" s="12" t="s">
        <v>43</v>
      </c>
      <c r="I41" s="13">
        <f>COUNTIF(I$5:I$34, "Achieving")</f>
        <v>1</v>
      </c>
      <c r="J41" s="306"/>
      <c r="K41" s="308"/>
      <c r="L41" s="306"/>
      <c r="M41" s="306"/>
      <c r="N41" s="306"/>
      <c r="O41" s="306"/>
      <c r="P41" s="306"/>
      <c r="Q41" s="306"/>
      <c r="R41" s="307"/>
    </row>
    <row r="42" spans="1:18" ht="12.6" customHeight="1" x14ac:dyDescent="0.25">
      <c r="A42" s="32">
        <v>8</v>
      </c>
      <c r="B42" s="10">
        <v>3</v>
      </c>
      <c r="C42" s="10">
        <v>4</v>
      </c>
      <c r="D42" s="10">
        <v>5</v>
      </c>
      <c r="E42" s="11">
        <v>6</v>
      </c>
      <c r="H42" s="12" t="s">
        <v>40</v>
      </c>
      <c r="I42" s="13">
        <f>COUNTIF(I$5:I$34, "Excelling")</f>
        <v>0</v>
      </c>
      <c r="J42" s="306"/>
      <c r="K42" s="308"/>
      <c r="L42" s="306"/>
      <c r="M42" s="306"/>
      <c r="N42" s="306"/>
      <c r="O42" s="306"/>
      <c r="P42" s="306"/>
      <c r="Q42" s="306"/>
      <c r="R42" s="307"/>
    </row>
    <row r="43" spans="1:18" ht="12.6" customHeight="1" x14ac:dyDescent="0.25">
      <c r="A43" s="33">
        <v>9</v>
      </c>
      <c r="B43" s="10">
        <v>3</v>
      </c>
      <c r="C43" s="10">
        <v>4</v>
      </c>
      <c r="D43" s="10">
        <v>5</v>
      </c>
      <c r="E43" s="11">
        <v>6</v>
      </c>
      <c r="H43" s="306"/>
      <c r="I43" s="306"/>
      <c r="J43" s="306"/>
      <c r="K43" s="308"/>
      <c r="L43" s="306"/>
      <c r="M43" s="306"/>
      <c r="N43" s="306"/>
      <c r="O43" s="306"/>
      <c r="P43" s="306"/>
      <c r="Q43" s="306"/>
      <c r="R43" s="307"/>
    </row>
    <row r="44" spans="1:18" ht="13.05" customHeight="1" thickBot="1" x14ac:dyDescent="0.3">
      <c r="A44" s="32">
        <v>10</v>
      </c>
      <c r="B44" s="10">
        <v>3</v>
      </c>
      <c r="C44" s="10">
        <v>4</v>
      </c>
      <c r="D44" s="10">
        <v>5</v>
      </c>
      <c r="E44" s="11">
        <v>6</v>
      </c>
      <c r="H44" s="306"/>
      <c r="I44" s="306"/>
      <c r="J44" s="306"/>
      <c r="K44" s="309"/>
      <c r="L44" s="310"/>
      <c r="M44" s="310"/>
      <c r="N44" s="310"/>
      <c r="O44" s="310"/>
      <c r="P44" s="310"/>
      <c r="Q44" s="310"/>
      <c r="R44" s="311"/>
    </row>
    <row r="45" spans="1:18" ht="13.05" customHeight="1" thickTop="1" x14ac:dyDescent="0.25">
      <c r="A45" s="32">
        <v>11</v>
      </c>
      <c r="B45" s="10">
        <v>3</v>
      </c>
      <c r="C45" s="10">
        <v>4</v>
      </c>
      <c r="D45" s="10">
        <v>5</v>
      </c>
      <c r="E45" s="11">
        <v>6</v>
      </c>
      <c r="H45" s="306"/>
      <c r="I45" s="306"/>
      <c r="J45" s="306"/>
      <c r="K45" s="306"/>
      <c r="L45" s="306"/>
      <c r="M45" s="306"/>
      <c r="N45" s="306"/>
      <c r="O45" s="306"/>
      <c r="P45" s="306"/>
      <c r="Q45" s="306"/>
      <c r="R45" s="306"/>
    </row>
    <row r="46" spans="1:18" ht="13.05" customHeight="1" thickBot="1" x14ac:dyDescent="0.3">
      <c r="A46" s="34">
        <v>12</v>
      </c>
      <c r="B46" s="14">
        <v>3</v>
      </c>
      <c r="C46" s="14">
        <v>4</v>
      </c>
      <c r="D46" s="14">
        <v>5</v>
      </c>
      <c r="E46" s="15">
        <v>6</v>
      </c>
      <c r="H46" s="306"/>
      <c r="I46" s="306"/>
      <c r="J46" s="306"/>
      <c r="K46" s="306"/>
      <c r="L46" s="306"/>
      <c r="M46" s="306"/>
      <c r="N46" s="306"/>
      <c r="O46" s="306"/>
      <c r="P46" s="306"/>
      <c r="Q46" s="306"/>
      <c r="R46" s="306"/>
    </row>
    <row r="47" spans="1:18" ht="15.75" customHeight="1" thickTop="1" x14ac:dyDescent="0.25"/>
    <row r="48" spans="1:18"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3">
    <mergeCell ref="K45:R46"/>
    <mergeCell ref="A1:I1"/>
    <mergeCell ref="J1:J46"/>
    <mergeCell ref="K1:R1"/>
    <mergeCell ref="K2:N2"/>
    <mergeCell ref="O2:R2"/>
    <mergeCell ref="H36:I37"/>
    <mergeCell ref="H43:I46"/>
    <mergeCell ref="A36:E36"/>
    <mergeCell ref="A37:E37"/>
    <mergeCell ref="F2:I2"/>
    <mergeCell ref="B2:E2"/>
    <mergeCell ref="K3:R44"/>
  </mergeCells>
  <conditionalFormatting sqref="I5:I34">
    <cfRule type="containsText" dxfId="193" priority="1" operator="containsText" text="Error">
      <formula>NOT(ISERROR(SEARCH("Error",I5)))</formula>
    </cfRule>
    <cfRule type="containsText" dxfId="192" priority="2" operator="containsText" text="Age Not Found">
      <formula>NOT(ISERROR(SEARCH("Age Not Found",I5)))</formula>
    </cfRule>
    <cfRule type="containsText" dxfId="191" priority="3" operator="containsText" text="Beginning">
      <formula>NOT(ISERROR(SEARCH("Beginning",I5)))</formula>
    </cfRule>
    <cfRule type="containsText" dxfId="190" priority="4" operator="containsText" text="Progressing">
      <formula>NOT(ISERROR(SEARCH("Progressing",I5)))</formula>
    </cfRule>
    <cfRule type="containsText" dxfId="189" priority="5" operator="containsText" text="Achieving">
      <formula>NOT(ISERROR(SEARCH("Achieving",I5)))</formula>
    </cfRule>
    <cfRule type="containsText" dxfId="188" priority="6" operator="containsText" text="Excelling">
      <formula>NOT(ISERROR(SEARCH("Excelling",I5)))</formula>
    </cfRule>
  </conditionalFormatting>
  <dataValidations count="2">
    <dataValidation type="list" allowBlank="1" showInputMessage="1" showErrorMessage="1" sqref="I5:I34" xr:uid="{00000000-0002-0000-0200-000000000000}">
      <formula1>$A$48:$A$52</formula1>
    </dataValidation>
    <dataValidation type="list" allowBlank="1" showInputMessage="1" showErrorMessage="1" sqref="B5:F34" xr:uid="{5EDE09DC-7527-4348-9844-4B62AC7C3122}">
      <formula1>"1, 0"</formula1>
    </dataValidation>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7"/>
    <outlinePr summaryBelow="0" summaryRight="0"/>
  </sheetPr>
  <dimension ref="A1:R52"/>
  <sheetViews>
    <sheetView showGridLines="0" zoomScale="55" zoomScaleNormal="55" workbookViewId="0">
      <pane xSplit="1" ySplit="3" topLeftCell="B19" activePane="bottomRight" state="frozen"/>
      <selection activeCell="I5" sqref="I5:I34"/>
      <selection pane="topRight" activeCell="I5" sqref="I5:I34"/>
      <selection pane="bottomLeft" activeCell="I5" sqref="I5:I34"/>
      <selection pane="bottomRight" activeCell="A5" sqref="A5:I34"/>
    </sheetView>
  </sheetViews>
  <sheetFormatPr defaultColWidth="12.5546875" defaultRowHeight="15.75" customHeight="1" x14ac:dyDescent="0.25"/>
  <cols>
    <col min="1" max="1" width="27" customWidth="1"/>
    <col min="2" max="6" width="27.21875" customWidth="1"/>
    <col min="7" max="7" width="15.88671875" customWidth="1"/>
    <col min="8" max="8" width="12.5546875" customWidth="1"/>
    <col min="9" max="9" width="13.6640625" customWidth="1"/>
    <col min="18" max="18" width="27" customWidth="1"/>
  </cols>
  <sheetData>
    <row r="1" spans="1:18" ht="28.8" customHeight="1" thickTop="1" thickBot="1" x14ac:dyDescent="0.8">
      <c r="A1" s="312" t="s">
        <v>9</v>
      </c>
      <c r="B1" s="313"/>
      <c r="C1" s="313"/>
      <c r="D1" s="313"/>
      <c r="E1" s="313"/>
      <c r="F1" s="313"/>
      <c r="G1" s="313"/>
      <c r="H1" s="313"/>
      <c r="I1" s="314"/>
      <c r="K1" s="315" t="s">
        <v>20</v>
      </c>
      <c r="L1" s="316"/>
      <c r="M1" s="316"/>
      <c r="N1" s="316"/>
      <c r="O1" s="316"/>
      <c r="P1" s="316"/>
      <c r="Q1" s="316"/>
      <c r="R1" s="317"/>
    </row>
    <row r="2" spans="1:18" ht="57" customHeight="1" thickTop="1" thickBot="1" x14ac:dyDescent="0.55000000000000004">
      <c r="A2" s="348" t="s">
        <v>63</v>
      </c>
      <c r="B2" s="349"/>
      <c r="C2" s="350" t="s">
        <v>64</v>
      </c>
      <c r="D2" s="351"/>
      <c r="E2" s="352"/>
      <c r="F2" s="353" t="s">
        <v>65</v>
      </c>
      <c r="G2" s="354"/>
      <c r="H2" s="354"/>
      <c r="I2" s="355"/>
      <c r="K2" s="318" t="s">
        <v>24</v>
      </c>
      <c r="L2" s="319"/>
      <c r="M2" s="319"/>
      <c r="N2" s="320"/>
      <c r="O2" s="321"/>
      <c r="P2" s="322"/>
      <c r="Q2" s="322"/>
      <c r="R2" s="323"/>
    </row>
    <row r="3" spans="1:18" ht="52.5" customHeight="1" thickTop="1" thickBot="1" x14ac:dyDescent="0.3">
      <c r="A3" s="205" t="s">
        <v>25</v>
      </c>
      <c r="B3" s="42" t="s">
        <v>66</v>
      </c>
      <c r="C3" s="38" t="s">
        <v>67</v>
      </c>
      <c r="D3" s="38" t="s">
        <v>68</v>
      </c>
      <c r="E3" s="38" t="s">
        <v>69</v>
      </c>
      <c r="F3" s="39" t="s">
        <v>70</v>
      </c>
      <c r="G3" s="66" t="s">
        <v>5</v>
      </c>
      <c r="H3" s="55" t="s">
        <v>31</v>
      </c>
      <c r="I3" s="23" t="s">
        <v>32</v>
      </c>
      <c r="K3" s="305"/>
      <c r="L3" s="306"/>
      <c r="M3" s="306"/>
      <c r="N3" s="306"/>
      <c r="O3" s="306"/>
      <c r="P3" s="306"/>
      <c r="Q3" s="306"/>
      <c r="R3" s="307"/>
    </row>
    <row r="4" spans="1:18" ht="13.05" customHeight="1" thickTop="1" x14ac:dyDescent="0.25">
      <c r="A4" s="189" t="s">
        <v>33</v>
      </c>
      <c r="B4" s="27">
        <v>5</v>
      </c>
      <c r="C4" s="30">
        <v>8</v>
      </c>
      <c r="D4" s="30">
        <v>8</v>
      </c>
      <c r="E4" s="30">
        <v>8</v>
      </c>
      <c r="F4" s="28">
        <v>6</v>
      </c>
      <c r="G4" s="2"/>
      <c r="H4" s="22"/>
      <c r="I4" s="23"/>
      <c r="K4" s="308"/>
      <c r="L4" s="306"/>
      <c r="M4" s="306"/>
      <c r="N4" s="306"/>
      <c r="O4" s="306"/>
      <c r="P4" s="306"/>
      <c r="Q4" s="306"/>
      <c r="R4" s="307"/>
    </row>
    <row r="5" spans="1:18" ht="30" customHeight="1" x14ac:dyDescent="0.25">
      <c r="A5" s="198" t="str">
        <f>'Class List'!A5</f>
        <v>Student</v>
      </c>
      <c r="B5" s="199">
        <v>1</v>
      </c>
      <c r="C5" s="200">
        <v>1</v>
      </c>
      <c r="D5" s="200">
        <v>1</v>
      </c>
      <c r="E5" s="200">
        <v>1</v>
      </c>
      <c r="F5" s="200">
        <v>1</v>
      </c>
      <c r="G5" s="197">
        <f>'Class List'!$C5</f>
        <v>9</v>
      </c>
      <c r="H5" s="194">
        <f t="shared" ref="H5:H34" si="0">SUM(B5:F5)</f>
        <v>5</v>
      </c>
      <c r="I5" s="195" t="str">
        <f t="shared" ref="I5:I34" si="1">IFERROR(
   IF(H5 &lt;= INDEX($B$36:$B$46, MATCH(G5, $A$36:$A$46, 0)), "Beginning",
      IF(H5 &lt;= INDEX($C$36:$C$46, MATCH(G5, $A$36:$A$46, 0)), "Progressing",
         IF(H5 &lt;= INDEX($D$36:$D$46, MATCH(G5, $A$36:$A$46, 0)), "Achieving",
            IF(H5 &gt;= INDEX($E$36:$E$46, MATCH(G5, $A$36:$A$46, 0)), "Excelling", "Error")))),
   "Age Not Found")</f>
        <v>Achieving</v>
      </c>
      <c r="K5" s="308"/>
      <c r="L5" s="306"/>
      <c r="M5" s="306"/>
      <c r="N5" s="306"/>
      <c r="O5" s="306"/>
      <c r="P5" s="306"/>
      <c r="Q5" s="306"/>
      <c r="R5" s="307"/>
    </row>
    <row r="6" spans="1:18" ht="30" customHeight="1" x14ac:dyDescent="0.25">
      <c r="A6" s="198" t="str">
        <f>'Class List'!A6</f>
        <v>Student</v>
      </c>
      <c r="B6" s="201">
        <v>0</v>
      </c>
      <c r="C6" s="202">
        <v>0</v>
      </c>
      <c r="D6" s="202">
        <v>0</v>
      </c>
      <c r="E6" s="202">
        <v>0</v>
      </c>
      <c r="F6" s="202">
        <v>0</v>
      </c>
      <c r="G6" s="197">
        <f>'Class List'!$C6</f>
        <v>10</v>
      </c>
      <c r="H6" s="194">
        <f t="shared" si="0"/>
        <v>0</v>
      </c>
      <c r="I6" s="195" t="str">
        <f t="shared" si="1"/>
        <v>Beginning</v>
      </c>
      <c r="K6" s="308"/>
      <c r="L6" s="306"/>
      <c r="M6" s="306"/>
      <c r="N6" s="306"/>
      <c r="O6" s="306"/>
      <c r="P6" s="306"/>
      <c r="Q6" s="306"/>
      <c r="R6" s="307"/>
    </row>
    <row r="7" spans="1:18" ht="30" customHeight="1" x14ac:dyDescent="0.25">
      <c r="A7" s="198" t="str">
        <f>'Class List'!A7</f>
        <v>Student</v>
      </c>
      <c r="B7" s="201">
        <v>0</v>
      </c>
      <c r="C7" s="202">
        <v>0</v>
      </c>
      <c r="D7" s="202">
        <v>0</v>
      </c>
      <c r="E7" s="202">
        <v>0</v>
      </c>
      <c r="F7" s="202">
        <v>0</v>
      </c>
      <c r="G7" s="197">
        <f>'Class List'!$C7</f>
        <v>9</v>
      </c>
      <c r="H7" s="194">
        <f t="shared" si="0"/>
        <v>0</v>
      </c>
      <c r="I7" s="195" t="str">
        <f t="shared" si="1"/>
        <v>Beginning</v>
      </c>
      <c r="K7" s="308"/>
      <c r="L7" s="306"/>
      <c r="M7" s="306"/>
      <c r="N7" s="306"/>
      <c r="O7" s="306"/>
      <c r="P7" s="306"/>
      <c r="Q7" s="306"/>
      <c r="R7" s="307"/>
    </row>
    <row r="8" spans="1:18" ht="30" customHeight="1" x14ac:dyDescent="0.25">
      <c r="A8" s="198" t="str">
        <f>'Class List'!A8</f>
        <v>Student</v>
      </c>
      <c r="B8" s="201">
        <v>0</v>
      </c>
      <c r="C8" s="202">
        <v>0</v>
      </c>
      <c r="D8" s="202">
        <v>0</v>
      </c>
      <c r="E8" s="202">
        <v>0</v>
      </c>
      <c r="F8" s="202">
        <v>0</v>
      </c>
      <c r="G8" s="197">
        <f>'Class List'!$C8</f>
        <v>10</v>
      </c>
      <c r="H8" s="194">
        <f t="shared" si="0"/>
        <v>0</v>
      </c>
      <c r="I8" s="195" t="str">
        <f t="shared" si="1"/>
        <v>Beginning</v>
      </c>
      <c r="K8" s="308"/>
      <c r="L8" s="306"/>
      <c r="M8" s="306"/>
      <c r="N8" s="306"/>
      <c r="O8" s="306"/>
      <c r="P8" s="306"/>
      <c r="Q8" s="306"/>
      <c r="R8" s="307"/>
    </row>
    <row r="9" spans="1:18" ht="30" customHeight="1" x14ac:dyDescent="0.25">
      <c r="A9" s="198" t="str">
        <f>'Class List'!A9</f>
        <v>Student</v>
      </c>
      <c r="B9" s="201">
        <v>0</v>
      </c>
      <c r="C9" s="202">
        <v>0</v>
      </c>
      <c r="D9" s="202">
        <v>0</v>
      </c>
      <c r="E9" s="202">
        <v>0</v>
      </c>
      <c r="F9" s="202">
        <v>0</v>
      </c>
      <c r="G9" s="197">
        <f>'Class List'!$C9</f>
        <v>10</v>
      </c>
      <c r="H9" s="194">
        <f t="shared" si="0"/>
        <v>0</v>
      </c>
      <c r="I9" s="195" t="str">
        <f t="shared" si="1"/>
        <v>Beginning</v>
      </c>
      <c r="K9" s="308"/>
      <c r="L9" s="306"/>
      <c r="M9" s="306"/>
      <c r="N9" s="306"/>
      <c r="O9" s="306"/>
      <c r="P9" s="306"/>
      <c r="Q9" s="306"/>
      <c r="R9" s="307"/>
    </row>
    <row r="10" spans="1:18" ht="30" customHeight="1" x14ac:dyDescent="0.25">
      <c r="A10" s="198" t="str">
        <f>'Class List'!A10</f>
        <v>Student</v>
      </c>
      <c r="B10" s="201">
        <v>0</v>
      </c>
      <c r="C10" s="202">
        <v>0</v>
      </c>
      <c r="D10" s="202">
        <v>0</v>
      </c>
      <c r="E10" s="202">
        <v>0</v>
      </c>
      <c r="F10" s="202">
        <v>0</v>
      </c>
      <c r="G10" s="197">
        <f>'Class List'!$C10</f>
        <v>10</v>
      </c>
      <c r="H10" s="194">
        <f t="shared" si="0"/>
        <v>0</v>
      </c>
      <c r="I10" s="195" t="str">
        <f t="shared" si="1"/>
        <v>Beginning</v>
      </c>
      <c r="K10" s="308"/>
      <c r="L10" s="306"/>
      <c r="M10" s="306"/>
      <c r="N10" s="306"/>
      <c r="O10" s="306"/>
      <c r="P10" s="306"/>
      <c r="Q10" s="306"/>
      <c r="R10" s="307"/>
    </row>
    <row r="11" spans="1:18" ht="30" customHeight="1" x14ac:dyDescent="0.25">
      <c r="A11" s="198" t="str">
        <f>'Class List'!A11</f>
        <v>Student</v>
      </c>
      <c r="B11" s="201">
        <v>0</v>
      </c>
      <c r="C11" s="202">
        <v>0</v>
      </c>
      <c r="D11" s="202">
        <v>0</v>
      </c>
      <c r="E11" s="202">
        <v>0</v>
      </c>
      <c r="F11" s="202">
        <v>0</v>
      </c>
      <c r="G11" s="197">
        <f>'Class List'!$C11</f>
        <v>9</v>
      </c>
      <c r="H11" s="194">
        <f t="shared" si="0"/>
        <v>0</v>
      </c>
      <c r="I11" s="195" t="str">
        <f t="shared" si="1"/>
        <v>Beginning</v>
      </c>
      <c r="K11" s="308"/>
      <c r="L11" s="306"/>
      <c r="M11" s="306"/>
      <c r="N11" s="306"/>
      <c r="O11" s="306"/>
      <c r="P11" s="306"/>
      <c r="Q11" s="306"/>
      <c r="R11" s="307"/>
    </row>
    <row r="12" spans="1:18" ht="30" customHeight="1" x14ac:dyDescent="0.25">
      <c r="A12" s="198" t="str">
        <f>'Class List'!A12</f>
        <v>Student</v>
      </c>
      <c r="B12" s="201">
        <v>0</v>
      </c>
      <c r="C12" s="202">
        <v>0</v>
      </c>
      <c r="D12" s="202">
        <v>0</v>
      </c>
      <c r="E12" s="202">
        <v>0</v>
      </c>
      <c r="F12" s="202">
        <v>0</v>
      </c>
      <c r="G12" s="197">
        <f>'Class List'!$C12</f>
        <v>9</v>
      </c>
      <c r="H12" s="194">
        <f t="shared" si="0"/>
        <v>0</v>
      </c>
      <c r="I12" s="195" t="str">
        <f t="shared" si="1"/>
        <v>Beginning</v>
      </c>
      <c r="K12" s="308"/>
      <c r="L12" s="306"/>
      <c r="M12" s="306"/>
      <c r="N12" s="306"/>
      <c r="O12" s="306"/>
      <c r="P12" s="306"/>
      <c r="Q12" s="306"/>
      <c r="R12" s="307"/>
    </row>
    <row r="13" spans="1:18" ht="30" customHeight="1" x14ac:dyDescent="0.25">
      <c r="A13" s="198" t="str">
        <f>'Class List'!A13</f>
        <v>Student</v>
      </c>
      <c r="B13" s="201">
        <v>0</v>
      </c>
      <c r="C13" s="202">
        <v>0</v>
      </c>
      <c r="D13" s="202">
        <v>0</v>
      </c>
      <c r="E13" s="202">
        <v>0</v>
      </c>
      <c r="F13" s="202">
        <v>0</v>
      </c>
      <c r="G13" s="197">
        <f>'Class List'!$C13</f>
        <v>9</v>
      </c>
      <c r="H13" s="194">
        <f t="shared" si="0"/>
        <v>0</v>
      </c>
      <c r="I13" s="195" t="str">
        <f t="shared" si="1"/>
        <v>Beginning</v>
      </c>
      <c r="K13" s="308"/>
      <c r="L13" s="306"/>
      <c r="M13" s="306"/>
      <c r="N13" s="306"/>
      <c r="O13" s="306"/>
      <c r="P13" s="306"/>
      <c r="Q13" s="306"/>
      <c r="R13" s="307"/>
    </row>
    <row r="14" spans="1:18" ht="30" customHeight="1" x14ac:dyDescent="0.25">
      <c r="A14" s="198" t="str">
        <f>'Class List'!A14</f>
        <v>Student</v>
      </c>
      <c r="B14" s="201">
        <v>0</v>
      </c>
      <c r="C14" s="202">
        <v>0</v>
      </c>
      <c r="D14" s="202">
        <v>0</v>
      </c>
      <c r="E14" s="202">
        <v>0</v>
      </c>
      <c r="F14" s="202">
        <v>0</v>
      </c>
      <c r="G14" s="197">
        <f>'Class List'!$C14</f>
        <v>9</v>
      </c>
      <c r="H14" s="194">
        <f t="shared" si="0"/>
        <v>0</v>
      </c>
      <c r="I14" s="195" t="str">
        <f t="shared" si="1"/>
        <v>Beginning</v>
      </c>
      <c r="K14" s="308"/>
      <c r="L14" s="306"/>
      <c r="M14" s="306"/>
      <c r="N14" s="306"/>
      <c r="O14" s="306"/>
      <c r="P14" s="306"/>
      <c r="Q14" s="306"/>
      <c r="R14" s="307"/>
    </row>
    <row r="15" spans="1:18" ht="30" customHeight="1" x14ac:dyDescent="0.25">
      <c r="A15" s="198" t="str">
        <f>'Class List'!A15</f>
        <v>Student</v>
      </c>
      <c r="B15" s="201">
        <v>0</v>
      </c>
      <c r="C15" s="202">
        <v>0</v>
      </c>
      <c r="D15" s="202">
        <v>0</v>
      </c>
      <c r="E15" s="202">
        <v>0</v>
      </c>
      <c r="F15" s="202">
        <v>0</v>
      </c>
      <c r="G15" s="197">
        <f>'Class List'!$C15</f>
        <v>10</v>
      </c>
      <c r="H15" s="194">
        <f t="shared" si="0"/>
        <v>0</v>
      </c>
      <c r="I15" s="195" t="str">
        <f t="shared" si="1"/>
        <v>Beginning</v>
      </c>
      <c r="K15" s="308"/>
      <c r="L15" s="306"/>
      <c r="M15" s="306"/>
      <c r="N15" s="306"/>
      <c r="O15" s="306"/>
      <c r="P15" s="306"/>
      <c r="Q15" s="306"/>
      <c r="R15" s="307"/>
    </row>
    <row r="16" spans="1:18" ht="30" customHeight="1" x14ac:dyDescent="0.25">
      <c r="A16" s="198" t="str">
        <f>'Class List'!A16</f>
        <v>Student</v>
      </c>
      <c r="B16" s="201">
        <v>0</v>
      </c>
      <c r="C16" s="202">
        <v>0</v>
      </c>
      <c r="D16" s="202">
        <v>0</v>
      </c>
      <c r="E16" s="202">
        <v>0</v>
      </c>
      <c r="F16" s="202">
        <v>0</v>
      </c>
      <c r="G16" s="197">
        <f>'Class List'!$C16</f>
        <v>9</v>
      </c>
      <c r="H16" s="194">
        <f t="shared" si="0"/>
        <v>0</v>
      </c>
      <c r="I16" s="195" t="str">
        <f t="shared" si="1"/>
        <v>Beginning</v>
      </c>
      <c r="K16" s="308"/>
      <c r="L16" s="306"/>
      <c r="M16" s="306"/>
      <c r="N16" s="306"/>
      <c r="O16" s="306"/>
      <c r="P16" s="306"/>
      <c r="Q16" s="306"/>
      <c r="R16" s="307"/>
    </row>
    <row r="17" spans="1:18" ht="30" customHeight="1" x14ac:dyDescent="0.25">
      <c r="A17" s="198" t="str">
        <f>'Class List'!A17</f>
        <v>Student</v>
      </c>
      <c r="B17" s="201">
        <v>0</v>
      </c>
      <c r="C17" s="202">
        <v>0</v>
      </c>
      <c r="D17" s="202">
        <v>0</v>
      </c>
      <c r="E17" s="202">
        <v>0</v>
      </c>
      <c r="F17" s="202">
        <v>0</v>
      </c>
      <c r="G17" s="197">
        <f>'Class List'!$C17</f>
        <v>9</v>
      </c>
      <c r="H17" s="194">
        <f t="shared" si="0"/>
        <v>0</v>
      </c>
      <c r="I17" s="195" t="str">
        <f t="shared" si="1"/>
        <v>Beginning</v>
      </c>
      <c r="K17" s="308"/>
      <c r="L17" s="306"/>
      <c r="M17" s="306"/>
      <c r="N17" s="306"/>
      <c r="O17" s="306"/>
      <c r="P17" s="306"/>
      <c r="Q17" s="306"/>
      <c r="R17" s="307"/>
    </row>
    <row r="18" spans="1:18" ht="30" customHeight="1" x14ac:dyDescent="0.25">
      <c r="A18" s="198" t="str">
        <f>'Class List'!A18</f>
        <v>Student</v>
      </c>
      <c r="B18" s="201">
        <v>0</v>
      </c>
      <c r="C18" s="202">
        <v>0</v>
      </c>
      <c r="D18" s="202">
        <v>0</v>
      </c>
      <c r="E18" s="202">
        <v>0</v>
      </c>
      <c r="F18" s="202">
        <v>0</v>
      </c>
      <c r="G18" s="197">
        <f>'Class List'!$C18</f>
        <v>10</v>
      </c>
      <c r="H18" s="194">
        <f t="shared" si="0"/>
        <v>0</v>
      </c>
      <c r="I18" s="195" t="str">
        <f t="shared" si="1"/>
        <v>Beginning</v>
      </c>
      <c r="K18" s="308"/>
      <c r="L18" s="306"/>
      <c r="M18" s="306"/>
      <c r="N18" s="306"/>
      <c r="O18" s="306"/>
      <c r="P18" s="306"/>
      <c r="Q18" s="306"/>
      <c r="R18" s="307"/>
    </row>
    <row r="19" spans="1:18" ht="30" customHeight="1" x14ac:dyDescent="0.25">
      <c r="A19" s="198" t="str">
        <f>'Class List'!A19</f>
        <v>Student</v>
      </c>
      <c r="B19" s="201">
        <v>0</v>
      </c>
      <c r="C19" s="202">
        <v>0</v>
      </c>
      <c r="D19" s="202">
        <v>0</v>
      </c>
      <c r="E19" s="202">
        <v>0</v>
      </c>
      <c r="F19" s="202">
        <v>0</v>
      </c>
      <c r="G19" s="197">
        <f>'Class List'!$C19</f>
        <v>10</v>
      </c>
      <c r="H19" s="194">
        <f t="shared" si="0"/>
        <v>0</v>
      </c>
      <c r="I19" s="195" t="str">
        <f t="shared" si="1"/>
        <v>Beginning</v>
      </c>
      <c r="K19" s="308"/>
      <c r="L19" s="306"/>
      <c r="M19" s="306"/>
      <c r="N19" s="306"/>
      <c r="O19" s="306"/>
      <c r="P19" s="306"/>
      <c r="Q19" s="306"/>
      <c r="R19" s="307"/>
    </row>
    <row r="20" spans="1:18" ht="30" customHeight="1" x14ac:dyDescent="0.25">
      <c r="A20" s="198" t="str">
        <f>'Class List'!A20</f>
        <v>Student</v>
      </c>
      <c r="B20" s="201">
        <v>0</v>
      </c>
      <c r="C20" s="202">
        <v>0</v>
      </c>
      <c r="D20" s="202">
        <v>0</v>
      </c>
      <c r="E20" s="202">
        <v>0</v>
      </c>
      <c r="F20" s="202">
        <v>0</v>
      </c>
      <c r="G20" s="197">
        <f>'Class List'!$C20</f>
        <v>10</v>
      </c>
      <c r="H20" s="194">
        <f t="shared" si="0"/>
        <v>0</v>
      </c>
      <c r="I20" s="195" t="str">
        <f t="shared" si="1"/>
        <v>Beginning</v>
      </c>
      <c r="K20" s="308"/>
      <c r="L20" s="306"/>
      <c r="M20" s="306"/>
      <c r="N20" s="306"/>
      <c r="O20" s="306"/>
      <c r="P20" s="306"/>
      <c r="Q20" s="306"/>
      <c r="R20" s="307"/>
    </row>
    <row r="21" spans="1:18" ht="30" customHeight="1" x14ac:dyDescent="0.25">
      <c r="A21" s="198" t="str">
        <f>'Class List'!A21</f>
        <v>Student</v>
      </c>
      <c r="B21" s="201">
        <v>0</v>
      </c>
      <c r="C21" s="202">
        <v>0</v>
      </c>
      <c r="D21" s="202">
        <v>0</v>
      </c>
      <c r="E21" s="202">
        <v>0</v>
      </c>
      <c r="F21" s="202">
        <v>0</v>
      </c>
      <c r="G21" s="197">
        <f>'Class List'!$C21</f>
        <v>9</v>
      </c>
      <c r="H21" s="194">
        <f t="shared" si="0"/>
        <v>0</v>
      </c>
      <c r="I21" s="195" t="str">
        <f t="shared" si="1"/>
        <v>Beginning</v>
      </c>
      <c r="K21" s="308"/>
      <c r="L21" s="306"/>
      <c r="M21" s="306"/>
      <c r="N21" s="306"/>
      <c r="O21" s="306"/>
      <c r="P21" s="306"/>
      <c r="Q21" s="306"/>
      <c r="R21" s="307"/>
    </row>
    <row r="22" spans="1:18" ht="30" customHeight="1" x14ac:dyDescent="0.25">
      <c r="A22" s="198" t="str">
        <f>'Class List'!A22</f>
        <v>Student</v>
      </c>
      <c r="B22" s="201">
        <v>0</v>
      </c>
      <c r="C22" s="202">
        <v>0</v>
      </c>
      <c r="D22" s="202">
        <v>0</v>
      </c>
      <c r="E22" s="202">
        <v>0</v>
      </c>
      <c r="F22" s="202">
        <v>0</v>
      </c>
      <c r="G22" s="197">
        <f>'Class List'!$C22</f>
        <v>10</v>
      </c>
      <c r="H22" s="194">
        <f t="shared" si="0"/>
        <v>0</v>
      </c>
      <c r="I22" s="195" t="str">
        <f t="shared" si="1"/>
        <v>Beginning</v>
      </c>
      <c r="K22" s="308"/>
      <c r="L22" s="306"/>
      <c r="M22" s="306"/>
      <c r="N22" s="306"/>
      <c r="O22" s="306"/>
      <c r="P22" s="306"/>
      <c r="Q22" s="306"/>
      <c r="R22" s="307"/>
    </row>
    <row r="23" spans="1:18" ht="30" customHeight="1" x14ac:dyDescent="0.25">
      <c r="A23" s="198" t="str">
        <f>'Class List'!A23</f>
        <v>Student</v>
      </c>
      <c r="B23" s="201">
        <v>0</v>
      </c>
      <c r="C23" s="202">
        <v>0</v>
      </c>
      <c r="D23" s="202">
        <v>0</v>
      </c>
      <c r="E23" s="202">
        <v>0</v>
      </c>
      <c r="F23" s="202">
        <v>0</v>
      </c>
      <c r="G23" s="197">
        <f>'Class List'!$C23</f>
        <v>10</v>
      </c>
      <c r="H23" s="194">
        <f t="shared" si="0"/>
        <v>0</v>
      </c>
      <c r="I23" s="195" t="str">
        <f t="shared" si="1"/>
        <v>Beginning</v>
      </c>
      <c r="K23" s="308"/>
      <c r="L23" s="306"/>
      <c r="M23" s="306"/>
      <c r="N23" s="306"/>
      <c r="O23" s="306"/>
      <c r="P23" s="306"/>
      <c r="Q23" s="306"/>
      <c r="R23" s="307"/>
    </row>
    <row r="24" spans="1:18" ht="30" customHeight="1" x14ac:dyDescent="0.25">
      <c r="A24" s="198" t="str">
        <f>'Class List'!A24</f>
        <v>Student</v>
      </c>
      <c r="B24" s="201">
        <v>0</v>
      </c>
      <c r="C24" s="202">
        <v>0</v>
      </c>
      <c r="D24" s="202">
        <v>0</v>
      </c>
      <c r="E24" s="202">
        <v>0</v>
      </c>
      <c r="F24" s="202">
        <v>0</v>
      </c>
      <c r="G24" s="197">
        <f>'Class List'!$C24</f>
        <v>9</v>
      </c>
      <c r="H24" s="194">
        <f t="shared" si="0"/>
        <v>0</v>
      </c>
      <c r="I24" s="195" t="str">
        <f t="shared" si="1"/>
        <v>Beginning</v>
      </c>
      <c r="K24" s="308"/>
      <c r="L24" s="306"/>
      <c r="M24" s="306"/>
      <c r="N24" s="306"/>
      <c r="O24" s="306"/>
      <c r="P24" s="306"/>
      <c r="Q24" s="306"/>
      <c r="R24" s="307"/>
    </row>
    <row r="25" spans="1:18" ht="30" customHeight="1" x14ac:dyDescent="0.25">
      <c r="A25" s="198" t="str">
        <f>'Class List'!A25</f>
        <v>Student</v>
      </c>
      <c r="B25" s="201">
        <v>0</v>
      </c>
      <c r="C25" s="202">
        <v>0</v>
      </c>
      <c r="D25" s="202">
        <v>0</v>
      </c>
      <c r="E25" s="202">
        <v>0</v>
      </c>
      <c r="F25" s="202">
        <v>0</v>
      </c>
      <c r="G25" s="197">
        <f>'Class List'!$C25</f>
        <v>10</v>
      </c>
      <c r="H25" s="194">
        <f t="shared" si="0"/>
        <v>0</v>
      </c>
      <c r="I25" s="195" t="str">
        <f t="shared" si="1"/>
        <v>Beginning</v>
      </c>
      <c r="K25" s="308"/>
      <c r="L25" s="306"/>
      <c r="M25" s="306"/>
      <c r="N25" s="306"/>
      <c r="O25" s="306"/>
      <c r="P25" s="306"/>
      <c r="Q25" s="306"/>
      <c r="R25" s="307"/>
    </row>
    <row r="26" spans="1:18" ht="30" customHeight="1" x14ac:dyDescent="0.25">
      <c r="A26" s="198" t="str">
        <f>'Class List'!A26</f>
        <v>Student</v>
      </c>
      <c r="B26" s="201">
        <v>0</v>
      </c>
      <c r="C26" s="202">
        <v>0</v>
      </c>
      <c r="D26" s="202">
        <v>0</v>
      </c>
      <c r="E26" s="202">
        <v>0</v>
      </c>
      <c r="F26" s="202">
        <v>0</v>
      </c>
      <c r="G26" s="197">
        <f>'Class List'!$C26</f>
        <v>10</v>
      </c>
      <c r="H26" s="194">
        <f t="shared" si="0"/>
        <v>0</v>
      </c>
      <c r="I26" s="195" t="str">
        <f t="shared" si="1"/>
        <v>Beginning</v>
      </c>
      <c r="K26" s="308"/>
      <c r="L26" s="306"/>
      <c r="M26" s="306"/>
      <c r="N26" s="306"/>
      <c r="O26" s="306"/>
      <c r="P26" s="306"/>
      <c r="Q26" s="306"/>
      <c r="R26" s="307"/>
    </row>
    <row r="27" spans="1:18" ht="30" customHeight="1" x14ac:dyDescent="0.25">
      <c r="A27" s="198" t="str">
        <f>'Class List'!A27</f>
        <v>Student</v>
      </c>
      <c r="B27" s="201">
        <v>0</v>
      </c>
      <c r="C27" s="202">
        <v>0</v>
      </c>
      <c r="D27" s="202">
        <v>0</v>
      </c>
      <c r="E27" s="202">
        <v>0</v>
      </c>
      <c r="F27" s="202">
        <v>0</v>
      </c>
      <c r="G27" s="197">
        <f>'Class List'!$C27</f>
        <v>9</v>
      </c>
      <c r="H27" s="194">
        <f t="shared" si="0"/>
        <v>0</v>
      </c>
      <c r="I27" s="195" t="str">
        <f t="shared" si="1"/>
        <v>Beginning</v>
      </c>
      <c r="K27" s="308"/>
      <c r="L27" s="306"/>
      <c r="M27" s="306"/>
      <c r="N27" s="306"/>
      <c r="O27" s="306"/>
      <c r="P27" s="306"/>
      <c r="Q27" s="306"/>
      <c r="R27" s="307"/>
    </row>
    <row r="28" spans="1:18" ht="30" customHeight="1" x14ac:dyDescent="0.25">
      <c r="A28" s="198" t="str">
        <f>'Class List'!A28</f>
        <v>Student</v>
      </c>
      <c r="B28" s="201">
        <v>0</v>
      </c>
      <c r="C28" s="202">
        <v>0</v>
      </c>
      <c r="D28" s="202">
        <v>0</v>
      </c>
      <c r="E28" s="202">
        <v>0</v>
      </c>
      <c r="F28" s="202">
        <v>0</v>
      </c>
      <c r="G28" s="197">
        <f>'Class List'!$C28</f>
        <v>9</v>
      </c>
      <c r="H28" s="194">
        <f t="shared" si="0"/>
        <v>0</v>
      </c>
      <c r="I28" s="195" t="str">
        <f t="shared" si="1"/>
        <v>Beginning</v>
      </c>
      <c r="K28" s="308"/>
      <c r="L28" s="306"/>
      <c r="M28" s="306"/>
      <c r="N28" s="306"/>
      <c r="O28" s="306"/>
      <c r="P28" s="306"/>
      <c r="Q28" s="306"/>
      <c r="R28" s="307"/>
    </row>
    <row r="29" spans="1:18" ht="30" customHeight="1" x14ac:dyDescent="0.25">
      <c r="A29" s="198" t="str">
        <f>'Class List'!A29</f>
        <v>Student</v>
      </c>
      <c r="B29" s="201">
        <v>0</v>
      </c>
      <c r="C29" s="202">
        <v>0</v>
      </c>
      <c r="D29" s="202">
        <v>0</v>
      </c>
      <c r="E29" s="202">
        <v>0</v>
      </c>
      <c r="F29" s="202">
        <v>0</v>
      </c>
      <c r="G29" s="197">
        <f>'Class List'!$C29</f>
        <v>9</v>
      </c>
      <c r="H29" s="194">
        <f t="shared" si="0"/>
        <v>0</v>
      </c>
      <c r="I29" s="195" t="str">
        <f t="shared" si="1"/>
        <v>Beginning</v>
      </c>
      <c r="K29" s="308"/>
      <c r="L29" s="306"/>
      <c r="M29" s="306"/>
      <c r="N29" s="306"/>
      <c r="O29" s="306"/>
      <c r="P29" s="306"/>
      <c r="Q29" s="306"/>
      <c r="R29" s="307"/>
    </row>
    <row r="30" spans="1:18" ht="30" customHeight="1" x14ac:dyDescent="0.25">
      <c r="A30" s="198" t="str">
        <f>'Class List'!A30</f>
        <v>Student</v>
      </c>
      <c r="B30" s="201">
        <v>0</v>
      </c>
      <c r="C30" s="202">
        <v>0</v>
      </c>
      <c r="D30" s="202">
        <v>0</v>
      </c>
      <c r="E30" s="202">
        <v>0</v>
      </c>
      <c r="F30" s="202">
        <v>0</v>
      </c>
      <c r="G30" s="197">
        <f>'Class List'!$C30</f>
        <v>9</v>
      </c>
      <c r="H30" s="194">
        <f t="shared" si="0"/>
        <v>0</v>
      </c>
      <c r="I30" s="195" t="str">
        <f t="shared" si="1"/>
        <v>Beginning</v>
      </c>
      <c r="K30" s="308"/>
      <c r="L30" s="306"/>
      <c r="M30" s="306"/>
      <c r="N30" s="306"/>
      <c r="O30" s="306"/>
      <c r="P30" s="306"/>
      <c r="Q30" s="306"/>
      <c r="R30" s="307"/>
    </row>
    <row r="31" spans="1:18" ht="30" customHeight="1" x14ac:dyDescent="0.25">
      <c r="A31" s="198">
        <f>'Class List'!A31</f>
        <v>0</v>
      </c>
      <c r="B31" s="201">
        <v>0</v>
      </c>
      <c r="C31" s="202">
        <v>0</v>
      </c>
      <c r="D31" s="202">
        <v>0</v>
      </c>
      <c r="E31" s="202">
        <v>0</v>
      </c>
      <c r="F31" s="202">
        <v>0</v>
      </c>
      <c r="G31" s="197">
        <f>'Class List'!$C31</f>
        <v>0</v>
      </c>
      <c r="H31" s="194">
        <f t="shared" si="0"/>
        <v>0</v>
      </c>
      <c r="I31" s="195" t="str">
        <f t="shared" si="1"/>
        <v>Age Not Found</v>
      </c>
      <c r="K31" s="308"/>
      <c r="L31" s="306"/>
      <c r="M31" s="306"/>
      <c r="N31" s="306"/>
      <c r="O31" s="306"/>
      <c r="P31" s="306"/>
      <c r="Q31" s="306"/>
      <c r="R31" s="307"/>
    </row>
    <row r="32" spans="1:18" ht="30" customHeight="1" x14ac:dyDescent="0.25">
      <c r="A32" s="198">
        <f>'Class List'!A32</f>
        <v>0</v>
      </c>
      <c r="B32" s="201">
        <v>0</v>
      </c>
      <c r="C32" s="202">
        <v>0</v>
      </c>
      <c r="D32" s="202">
        <v>0</v>
      </c>
      <c r="E32" s="202">
        <v>0</v>
      </c>
      <c r="F32" s="202">
        <v>0</v>
      </c>
      <c r="G32" s="197">
        <f>'Class List'!$C32</f>
        <v>0</v>
      </c>
      <c r="H32" s="194">
        <f t="shared" si="0"/>
        <v>0</v>
      </c>
      <c r="I32" s="195" t="str">
        <f t="shared" si="1"/>
        <v>Age Not Found</v>
      </c>
      <c r="K32" s="308"/>
      <c r="L32" s="306"/>
      <c r="M32" s="306"/>
      <c r="N32" s="306"/>
      <c r="O32" s="306"/>
      <c r="P32" s="306"/>
      <c r="Q32" s="306"/>
      <c r="R32" s="307"/>
    </row>
    <row r="33" spans="1:18" ht="30" customHeight="1" x14ac:dyDescent="0.25">
      <c r="A33" s="198">
        <f>'Class List'!A33</f>
        <v>0</v>
      </c>
      <c r="B33" s="201">
        <v>0</v>
      </c>
      <c r="C33" s="202">
        <v>0</v>
      </c>
      <c r="D33" s="202">
        <v>0</v>
      </c>
      <c r="E33" s="202">
        <v>0</v>
      </c>
      <c r="F33" s="202">
        <v>0</v>
      </c>
      <c r="G33" s="197">
        <f>'Class List'!$C33</f>
        <v>0</v>
      </c>
      <c r="H33" s="194">
        <f t="shared" si="0"/>
        <v>0</v>
      </c>
      <c r="I33" s="195" t="str">
        <f t="shared" si="1"/>
        <v>Age Not Found</v>
      </c>
      <c r="K33" s="308"/>
      <c r="L33" s="306"/>
      <c r="M33" s="306"/>
      <c r="N33" s="306"/>
      <c r="O33" s="306"/>
      <c r="P33" s="306"/>
      <c r="Q33" s="306"/>
      <c r="R33" s="307"/>
    </row>
    <row r="34" spans="1:18" ht="30" customHeight="1" thickBot="1" x14ac:dyDescent="0.3">
      <c r="A34" s="198">
        <f>'Class List'!A34</f>
        <v>0</v>
      </c>
      <c r="B34" s="203">
        <v>0</v>
      </c>
      <c r="C34" s="204">
        <v>0</v>
      </c>
      <c r="D34" s="204">
        <v>0</v>
      </c>
      <c r="E34" s="204">
        <v>0</v>
      </c>
      <c r="F34" s="204">
        <v>0</v>
      </c>
      <c r="G34" s="197">
        <f>'Class List'!$C34</f>
        <v>0</v>
      </c>
      <c r="H34" s="194">
        <f t="shared" si="0"/>
        <v>0</v>
      </c>
      <c r="I34" s="195" t="str">
        <f t="shared" si="1"/>
        <v>Age Not Found</v>
      </c>
      <c r="K34" s="308"/>
      <c r="L34" s="306"/>
      <c r="M34" s="306"/>
      <c r="N34" s="306"/>
      <c r="O34" s="306"/>
      <c r="P34" s="306"/>
      <c r="Q34" s="306"/>
      <c r="R34" s="307"/>
    </row>
    <row r="35" spans="1:18" ht="14.1" customHeight="1" thickTop="1" thickBot="1" x14ac:dyDescent="0.3">
      <c r="A35" s="191" t="s">
        <v>34</v>
      </c>
      <c r="B35" s="192">
        <f>SUM(B5:B34)</f>
        <v>1</v>
      </c>
      <c r="C35" s="192">
        <f>SUM(C5:C34)</f>
        <v>1</v>
      </c>
      <c r="D35" s="192">
        <f>SUM(D5:D34)</f>
        <v>1</v>
      </c>
      <c r="E35" s="192">
        <f>SUM(E5:E34)</f>
        <v>1</v>
      </c>
      <c r="F35" s="192">
        <f>SUM(F5:F34)</f>
        <v>1</v>
      </c>
      <c r="G35" s="192"/>
      <c r="H35" s="192"/>
      <c r="I35" s="193"/>
      <c r="K35" s="308"/>
      <c r="L35" s="306"/>
      <c r="M35" s="306"/>
      <c r="N35" s="306"/>
      <c r="O35" s="306"/>
      <c r="P35" s="306"/>
      <c r="Q35" s="306"/>
      <c r="R35" s="307"/>
    </row>
    <row r="36" spans="1:18" ht="16.05" customHeight="1" thickTop="1" x14ac:dyDescent="0.3">
      <c r="A36" s="327" t="s">
        <v>35</v>
      </c>
      <c r="B36" s="328"/>
      <c r="C36" s="328"/>
      <c r="D36" s="328"/>
      <c r="E36" s="329"/>
      <c r="F36" s="306"/>
      <c r="H36" s="340"/>
      <c r="I36" s="306"/>
      <c r="K36" s="308"/>
      <c r="L36" s="306"/>
      <c r="M36" s="306"/>
      <c r="N36" s="306"/>
      <c r="O36" s="306"/>
      <c r="P36" s="306"/>
      <c r="Q36" s="306"/>
      <c r="R36" s="307"/>
    </row>
    <row r="37" spans="1:18" ht="13.05" customHeight="1" x14ac:dyDescent="0.25">
      <c r="A37" s="324"/>
      <c r="B37" s="325"/>
      <c r="C37" s="325"/>
      <c r="D37" s="325"/>
      <c r="E37" s="326"/>
      <c r="F37" s="306"/>
      <c r="H37" s="306"/>
      <c r="I37" s="306"/>
      <c r="K37" s="308"/>
      <c r="L37" s="306"/>
      <c r="M37" s="306"/>
      <c r="N37" s="306"/>
      <c r="O37" s="306"/>
      <c r="P37" s="306"/>
      <c r="Q37" s="306"/>
      <c r="R37" s="307"/>
    </row>
    <row r="38" spans="1:18" ht="13.05" customHeight="1" x14ac:dyDescent="0.25">
      <c r="A38" s="5" t="s">
        <v>5</v>
      </c>
      <c r="B38" s="6" t="s">
        <v>37</v>
      </c>
      <c r="C38" s="6" t="s">
        <v>38</v>
      </c>
      <c r="D38" s="6" t="s">
        <v>39</v>
      </c>
      <c r="E38" s="7" t="s">
        <v>40</v>
      </c>
      <c r="F38" s="306"/>
      <c r="H38" s="8" t="s">
        <v>41</v>
      </c>
      <c r="I38" s="9"/>
      <c r="K38" s="308"/>
      <c r="L38" s="306"/>
      <c r="M38" s="306"/>
      <c r="N38" s="306"/>
      <c r="O38" s="306"/>
      <c r="P38" s="306"/>
      <c r="Q38" s="306"/>
      <c r="R38" s="307"/>
    </row>
    <row r="39" spans="1:18" ht="12.6" customHeight="1" x14ac:dyDescent="0.25">
      <c r="A39" s="32">
        <v>5</v>
      </c>
      <c r="B39" s="10">
        <v>0</v>
      </c>
      <c r="C39" s="10">
        <v>0</v>
      </c>
      <c r="D39" s="10">
        <v>1</v>
      </c>
      <c r="E39" s="11">
        <v>2</v>
      </c>
      <c r="F39" s="306"/>
      <c r="H39" s="12" t="s">
        <v>42</v>
      </c>
      <c r="I39" s="13">
        <f>COUNTIF(I$5:I$34, "Beginning")</f>
        <v>25</v>
      </c>
      <c r="K39" s="308"/>
      <c r="L39" s="306"/>
      <c r="M39" s="306"/>
      <c r="N39" s="306"/>
      <c r="O39" s="306"/>
      <c r="P39" s="306"/>
      <c r="Q39" s="306"/>
      <c r="R39" s="307"/>
    </row>
    <row r="40" spans="1:18" ht="12.6" customHeight="1" x14ac:dyDescent="0.25">
      <c r="A40" s="32">
        <v>6</v>
      </c>
      <c r="B40" s="10">
        <v>0</v>
      </c>
      <c r="C40" s="10">
        <v>1</v>
      </c>
      <c r="D40" s="10">
        <v>2</v>
      </c>
      <c r="E40" s="11">
        <v>3</v>
      </c>
      <c r="F40" s="306"/>
      <c r="H40" s="12" t="s">
        <v>38</v>
      </c>
      <c r="I40" s="13">
        <f>COUNTIF(I$5:I$34, "Progressing")</f>
        <v>0</v>
      </c>
      <c r="K40" s="308"/>
      <c r="L40" s="306"/>
      <c r="M40" s="306"/>
      <c r="N40" s="306"/>
      <c r="O40" s="306"/>
      <c r="P40" s="306"/>
      <c r="Q40" s="306"/>
      <c r="R40" s="307"/>
    </row>
    <row r="41" spans="1:18" ht="12.6" customHeight="1" x14ac:dyDescent="0.25">
      <c r="A41" s="32">
        <v>7</v>
      </c>
      <c r="B41" s="10">
        <v>0</v>
      </c>
      <c r="C41" s="10">
        <v>1</v>
      </c>
      <c r="D41" s="10">
        <v>2</v>
      </c>
      <c r="E41" s="11">
        <v>3</v>
      </c>
      <c r="F41" s="306"/>
      <c r="H41" s="12" t="s">
        <v>43</v>
      </c>
      <c r="I41" s="13">
        <f>COUNTIF(I$5:I$34, "Achieving")</f>
        <v>1</v>
      </c>
      <c r="K41" s="308"/>
      <c r="L41" s="306"/>
      <c r="M41" s="306"/>
      <c r="N41" s="306"/>
      <c r="O41" s="306"/>
      <c r="P41" s="306"/>
      <c r="Q41" s="306"/>
      <c r="R41" s="307"/>
    </row>
    <row r="42" spans="1:18" ht="12.6" customHeight="1" x14ac:dyDescent="0.25">
      <c r="A42" s="32">
        <v>8</v>
      </c>
      <c r="B42" s="10">
        <v>3</v>
      </c>
      <c r="C42" s="10">
        <v>4</v>
      </c>
      <c r="D42" s="10">
        <v>5</v>
      </c>
      <c r="E42" s="11">
        <v>6</v>
      </c>
      <c r="F42" s="306"/>
      <c r="H42" s="12" t="s">
        <v>40</v>
      </c>
      <c r="I42" s="13">
        <f>COUNTIF(I$5:I$34, "Excelling")</f>
        <v>0</v>
      </c>
      <c r="K42" s="308"/>
      <c r="L42" s="306"/>
      <c r="M42" s="306"/>
      <c r="N42" s="306"/>
      <c r="O42" s="306"/>
      <c r="P42" s="306"/>
      <c r="Q42" s="306"/>
      <c r="R42" s="307"/>
    </row>
    <row r="43" spans="1:18" ht="12.6" customHeight="1" x14ac:dyDescent="0.25">
      <c r="A43" s="33">
        <v>9</v>
      </c>
      <c r="B43" s="10">
        <v>3</v>
      </c>
      <c r="C43" s="10">
        <v>4</v>
      </c>
      <c r="D43" s="10">
        <v>5</v>
      </c>
      <c r="E43" s="11">
        <v>6</v>
      </c>
      <c r="F43" s="306"/>
      <c r="H43" s="306"/>
      <c r="I43" s="306"/>
      <c r="K43" s="308"/>
      <c r="L43" s="306"/>
      <c r="M43" s="306"/>
      <c r="N43" s="306"/>
      <c r="O43" s="306"/>
      <c r="P43" s="306"/>
      <c r="Q43" s="306"/>
      <c r="R43" s="307"/>
    </row>
    <row r="44" spans="1:18" ht="13.05" customHeight="1" thickBot="1" x14ac:dyDescent="0.3">
      <c r="A44" s="32">
        <v>10</v>
      </c>
      <c r="B44" s="10">
        <v>3</v>
      </c>
      <c r="C44" s="10">
        <v>4</v>
      </c>
      <c r="D44" s="10">
        <v>5</v>
      </c>
      <c r="E44" s="11">
        <v>6</v>
      </c>
      <c r="F44" s="306"/>
      <c r="H44" s="306"/>
      <c r="I44" s="306"/>
      <c r="K44" s="309"/>
      <c r="L44" s="310"/>
      <c r="M44" s="310"/>
      <c r="N44" s="310"/>
      <c r="O44" s="310"/>
      <c r="P44" s="310"/>
      <c r="Q44" s="310"/>
      <c r="R44" s="311"/>
    </row>
    <row r="45" spans="1:18" ht="13.05" customHeight="1" thickTop="1" x14ac:dyDescent="0.25">
      <c r="A45" s="32">
        <v>11</v>
      </c>
      <c r="B45" s="10">
        <v>3</v>
      </c>
      <c r="C45" s="10">
        <v>4</v>
      </c>
      <c r="D45" s="10">
        <v>5</v>
      </c>
      <c r="E45" s="11">
        <v>6</v>
      </c>
      <c r="F45" s="306"/>
      <c r="H45" s="306"/>
      <c r="I45" s="306"/>
      <c r="K45" s="306"/>
      <c r="L45" s="306"/>
      <c r="M45" s="306"/>
      <c r="N45" s="306"/>
      <c r="O45" s="306"/>
      <c r="P45" s="306"/>
      <c r="Q45" s="306"/>
      <c r="R45" s="306"/>
    </row>
    <row r="46" spans="1:18" ht="13.05" customHeight="1" thickBot="1" x14ac:dyDescent="0.3">
      <c r="A46" s="34">
        <v>12</v>
      </c>
      <c r="B46" s="14">
        <v>3</v>
      </c>
      <c r="C46" s="14">
        <v>4</v>
      </c>
      <c r="D46" s="14">
        <v>5</v>
      </c>
      <c r="E46" s="15">
        <v>6</v>
      </c>
      <c r="F46" s="306"/>
      <c r="H46" s="306"/>
      <c r="I46" s="306"/>
      <c r="K46" s="306"/>
      <c r="L46" s="306"/>
      <c r="M46" s="306"/>
      <c r="N46" s="306"/>
      <c r="O46" s="306"/>
      <c r="P46" s="306"/>
      <c r="Q46" s="306"/>
      <c r="R46" s="306"/>
    </row>
    <row r="47" spans="1:18" ht="15.75" customHeight="1" thickTop="1" x14ac:dyDescent="0.25"/>
    <row r="48" spans="1:18"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4">
    <mergeCell ref="A1:I1"/>
    <mergeCell ref="K1:R1"/>
    <mergeCell ref="K2:N2"/>
    <mergeCell ref="O2:R2"/>
    <mergeCell ref="F36:F46"/>
    <mergeCell ref="H43:I46"/>
    <mergeCell ref="K3:R44"/>
    <mergeCell ref="K45:R46"/>
    <mergeCell ref="H36:I37"/>
    <mergeCell ref="A36:E36"/>
    <mergeCell ref="A37:E37"/>
    <mergeCell ref="A2:B2"/>
    <mergeCell ref="C2:E2"/>
    <mergeCell ref="F2:I2"/>
  </mergeCells>
  <conditionalFormatting sqref="I5:I34">
    <cfRule type="containsText" dxfId="177" priority="1" operator="containsText" text="Error">
      <formula>NOT(ISERROR(SEARCH("Error",I5)))</formula>
    </cfRule>
    <cfRule type="containsText" dxfId="176" priority="2" operator="containsText" text="Age Not Found">
      <formula>NOT(ISERROR(SEARCH("Age Not Found",I5)))</formula>
    </cfRule>
    <cfRule type="containsText" dxfId="175" priority="3" operator="containsText" text="Beginning">
      <formula>NOT(ISERROR(SEARCH("Beginning",I5)))</formula>
    </cfRule>
    <cfRule type="containsText" dxfId="174" priority="4" operator="containsText" text="Progressing">
      <formula>NOT(ISERROR(SEARCH("Progressing",I5)))</formula>
    </cfRule>
    <cfRule type="containsText" dxfId="173" priority="5" operator="containsText" text="Achieving">
      <formula>NOT(ISERROR(SEARCH("Achieving",I5)))</formula>
    </cfRule>
    <cfRule type="containsText" dxfId="172" priority="6" operator="containsText" text="Excelling">
      <formula>NOT(ISERROR(SEARCH("Excelling",I5)))</formula>
    </cfRule>
  </conditionalFormatting>
  <dataValidations count="2">
    <dataValidation type="list" allowBlank="1" showInputMessage="1" showErrorMessage="1" sqref="I5:I34" xr:uid="{00000000-0002-0000-0300-000000000000}">
      <formula1>$A$48:$A$52</formula1>
    </dataValidation>
    <dataValidation type="list" allowBlank="1" showInputMessage="1" showErrorMessage="1" sqref="B5:F34" xr:uid="{4C43FF6A-459E-4EEC-AC8D-92BC3049EF8B}">
      <formula1>"1, 0"</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9"/>
    <outlinePr summaryBelow="0" summaryRight="0"/>
  </sheetPr>
  <dimension ref="A1:S52"/>
  <sheetViews>
    <sheetView showGridLines="0" zoomScale="55" zoomScaleNormal="55" workbookViewId="0">
      <pane xSplit="1" ySplit="3" topLeftCell="B18" activePane="bottomRight" state="frozen"/>
      <selection activeCell="J5" sqref="J5:J34"/>
      <selection pane="topRight" activeCell="J5" sqref="J5:J34"/>
      <selection pane="bottomLeft" activeCell="J5" sqref="J5:J34"/>
      <selection pane="bottomRight" activeCell="B5" sqref="B5:G34"/>
    </sheetView>
  </sheetViews>
  <sheetFormatPr defaultColWidth="12.5546875" defaultRowHeight="15.75" customHeight="1" x14ac:dyDescent="0.25"/>
  <cols>
    <col min="1" max="1" width="27" customWidth="1"/>
    <col min="2" max="7" width="24.77734375" customWidth="1"/>
    <col min="8" max="8" width="15.109375" customWidth="1"/>
    <col min="9" max="9" width="12.33203125" customWidth="1"/>
    <col min="19" max="19" width="34.21875" customWidth="1"/>
  </cols>
  <sheetData>
    <row r="1" spans="1:19" ht="31.8" customHeight="1" thickTop="1" thickBot="1" x14ac:dyDescent="0.8">
      <c r="A1" s="312" t="s">
        <v>10</v>
      </c>
      <c r="B1" s="313"/>
      <c r="C1" s="313"/>
      <c r="D1" s="313"/>
      <c r="E1" s="313"/>
      <c r="F1" s="313"/>
      <c r="G1" s="313"/>
      <c r="H1" s="313"/>
      <c r="I1" s="313"/>
      <c r="J1" s="314"/>
      <c r="K1" s="306"/>
      <c r="L1" s="315" t="s">
        <v>20</v>
      </c>
      <c r="M1" s="316"/>
      <c r="N1" s="316"/>
      <c r="O1" s="316"/>
      <c r="P1" s="316"/>
      <c r="Q1" s="316"/>
      <c r="R1" s="316"/>
      <c r="S1" s="317"/>
    </row>
    <row r="2" spans="1:19" ht="61.2" customHeight="1" thickTop="1" thickBot="1" x14ac:dyDescent="0.55000000000000004">
      <c r="A2" s="356" t="s">
        <v>71</v>
      </c>
      <c r="B2" s="357"/>
      <c r="C2" s="361" t="s">
        <v>72</v>
      </c>
      <c r="D2" s="359"/>
      <c r="E2" s="359"/>
      <c r="F2" s="358" t="s">
        <v>73</v>
      </c>
      <c r="G2" s="359"/>
      <c r="H2" s="359"/>
      <c r="I2" s="359"/>
      <c r="J2" s="360"/>
      <c r="K2" s="306"/>
      <c r="L2" s="318" t="s">
        <v>24</v>
      </c>
      <c r="M2" s="319"/>
      <c r="N2" s="319"/>
      <c r="O2" s="320"/>
      <c r="P2" s="321"/>
      <c r="Q2" s="322"/>
      <c r="R2" s="322"/>
      <c r="S2" s="323"/>
    </row>
    <row r="3" spans="1:19" ht="39.6" customHeight="1" thickTop="1" x14ac:dyDescent="0.25">
      <c r="A3" s="205" t="s">
        <v>25</v>
      </c>
      <c r="B3" s="26" t="s">
        <v>74</v>
      </c>
      <c r="C3" s="36" t="s">
        <v>75</v>
      </c>
      <c r="D3" s="21" t="s">
        <v>76</v>
      </c>
      <c r="E3" s="20" t="s">
        <v>77</v>
      </c>
      <c r="F3" s="20" t="s">
        <v>78</v>
      </c>
      <c r="G3" s="20" t="s">
        <v>79</v>
      </c>
      <c r="H3" s="66" t="s">
        <v>5</v>
      </c>
      <c r="I3" s="3" t="s">
        <v>80</v>
      </c>
      <c r="J3" s="4" t="s">
        <v>32</v>
      </c>
      <c r="K3" s="306"/>
      <c r="L3" s="305"/>
      <c r="M3" s="306"/>
      <c r="N3" s="306"/>
      <c r="O3" s="306"/>
      <c r="P3" s="306"/>
      <c r="Q3" s="306"/>
      <c r="R3" s="306"/>
      <c r="S3" s="307"/>
    </row>
    <row r="4" spans="1:19" ht="14.55" customHeight="1" thickTop="1" x14ac:dyDescent="0.25">
      <c r="A4" s="189" t="s">
        <v>33</v>
      </c>
      <c r="B4" s="27">
        <v>5</v>
      </c>
      <c r="C4" s="28">
        <v>6</v>
      </c>
      <c r="D4" s="28">
        <v>6</v>
      </c>
      <c r="E4" s="29">
        <v>7</v>
      </c>
      <c r="F4" s="29">
        <v>7</v>
      </c>
      <c r="G4" s="29">
        <v>7</v>
      </c>
      <c r="H4" s="2"/>
      <c r="I4" s="22"/>
      <c r="J4" s="23"/>
      <c r="K4" s="306"/>
      <c r="L4" s="308"/>
      <c r="M4" s="306"/>
      <c r="N4" s="306"/>
      <c r="O4" s="306"/>
      <c r="P4" s="306"/>
      <c r="Q4" s="306"/>
      <c r="R4" s="306"/>
      <c r="S4" s="307"/>
    </row>
    <row r="5" spans="1:19" ht="30" customHeight="1" x14ac:dyDescent="0.25">
      <c r="A5" s="198" t="str">
        <f>'Class List'!A5</f>
        <v>Student</v>
      </c>
      <c r="B5" s="199">
        <v>1</v>
      </c>
      <c r="C5" s="200">
        <v>1</v>
      </c>
      <c r="D5" s="200">
        <v>1</v>
      </c>
      <c r="E5" s="200">
        <v>1</v>
      </c>
      <c r="F5" s="200">
        <v>0</v>
      </c>
      <c r="G5" s="199">
        <v>0</v>
      </c>
      <c r="H5" s="197">
        <f>'Class List'!$C5</f>
        <v>9</v>
      </c>
      <c r="I5" s="194">
        <f t="shared" ref="I5:I34" si="0">SUM(B5:G5)</f>
        <v>4</v>
      </c>
      <c r="J5" s="195" t="str">
        <f t="shared" ref="J5:J34" si="1">IFERROR(
   IF(I5 &lt;= INDEX($B$36:$B$46, MATCH(H5, $A$36:$A$46, 0)), "Beginning",
      IF(I5 &lt;= INDEX($C$36:$C$46, MATCH(H5, $A$36:$A$46, 0)), "Progressing",
         IF(I5 &lt;= INDEX($D$36:$D$46, MATCH(H5, $A$36:$A$46, 0)), "Achieving",
            IF(I5 &gt;= INDEX($E$36:$E$46, MATCH(H5, $A$36:$A$46, 0)), "Excelling", "Error")))),
   "Age Not Found")</f>
        <v>Beginning</v>
      </c>
      <c r="K5" s="306"/>
      <c r="L5" s="308"/>
      <c r="M5" s="306"/>
      <c r="N5" s="306"/>
      <c r="O5" s="306"/>
      <c r="P5" s="306"/>
      <c r="Q5" s="306"/>
      <c r="R5" s="306"/>
      <c r="S5" s="307"/>
    </row>
    <row r="6" spans="1:19" ht="30" customHeight="1" x14ac:dyDescent="0.25">
      <c r="A6" s="198" t="str">
        <f>'Class List'!A6</f>
        <v>Student</v>
      </c>
      <c r="B6" s="201">
        <v>0</v>
      </c>
      <c r="C6" s="202">
        <v>0</v>
      </c>
      <c r="D6" s="202">
        <v>0</v>
      </c>
      <c r="E6" s="202">
        <v>0</v>
      </c>
      <c r="F6" s="202">
        <v>0</v>
      </c>
      <c r="G6" s="201">
        <v>0</v>
      </c>
      <c r="H6" s="197">
        <f>'Class List'!$C6</f>
        <v>10</v>
      </c>
      <c r="I6" s="194">
        <f t="shared" si="0"/>
        <v>0</v>
      </c>
      <c r="J6" s="195" t="str">
        <f t="shared" si="1"/>
        <v>Beginning</v>
      </c>
      <c r="K6" s="306"/>
      <c r="L6" s="308"/>
      <c r="M6" s="306"/>
      <c r="N6" s="306"/>
      <c r="O6" s="306"/>
      <c r="P6" s="306"/>
      <c r="Q6" s="306"/>
      <c r="R6" s="306"/>
      <c r="S6" s="307"/>
    </row>
    <row r="7" spans="1:19" ht="30" customHeight="1" x14ac:dyDescent="0.25">
      <c r="A7" s="198" t="str">
        <f>'Class List'!A7</f>
        <v>Student</v>
      </c>
      <c r="B7" s="201">
        <v>0</v>
      </c>
      <c r="C7" s="202">
        <v>0</v>
      </c>
      <c r="D7" s="202">
        <v>0</v>
      </c>
      <c r="E7" s="202">
        <v>0</v>
      </c>
      <c r="F7" s="202">
        <v>0</v>
      </c>
      <c r="G7" s="201">
        <v>0</v>
      </c>
      <c r="H7" s="197">
        <f>'Class List'!$C7</f>
        <v>9</v>
      </c>
      <c r="I7" s="194">
        <f t="shared" si="0"/>
        <v>0</v>
      </c>
      <c r="J7" s="195" t="str">
        <f t="shared" si="1"/>
        <v>Beginning</v>
      </c>
      <c r="K7" s="306"/>
      <c r="L7" s="308"/>
      <c r="M7" s="306"/>
      <c r="N7" s="306"/>
      <c r="O7" s="306"/>
      <c r="P7" s="306"/>
      <c r="Q7" s="306"/>
      <c r="R7" s="306"/>
      <c r="S7" s="307"/>
    </row>
    <row r="8" spans="1:19" ht="30" customHeight="1" x14ac:dyDescent="0.25">
      <c r="A8" s="198" t="str">
        <f>'Class List'!A8</f>
        <v>Student</v>
      </c>
      <c r="B8" s="201">
        <v>0</v>
      </c>
      <c r="C8" s="202">
        <v>0</v>
      </c>
      <c r="D8" s="202">
        <v>0</v>
      </c>
      <c r="E8" s="202">
        <v>0</v>
      </c>
      <c r="F8" s="202">
        <v>0</v>
      </c>
      <c r="G8" s="201">
        <v>0</v>
      </c>
      <c r="H8" s="197">
        <f>'Class List'!$C8</f>
        <v>10</v>
      </c>
      <c r="I8" s="194">
        <f t="shared" si="0"/>
        <v>0</v>
      </c>
      <c r="J8" s="195" t="str">
        <f t="shared" si="1"/>
        <v>Beginning</v>
      </c>
      <c r="K8" s="306"/>
      <c r="L8" s="308"/>
      <c r="M8" s="306"/>
      <c r="N8" s="306"/>
      <c r="O8" s="306"/>
      <c r="P8" s="306"/>
      <c r="Q8" s="306"/>
      <c r="R8" s="306"/>
      <c r="S8" s="307"/>
    </row>
    <row r="9" spans="1:19" ht="30" customHeight="1" x14ac:dyDescent="0.25">
      <c r="A9" s="198" t="str">
        <f>'Class List'!A9</f>
        <v>Student</v>
      </c>
      <c r="B9" s="201">
        <v>0</v>
      </c>
      <c r="C9" s="202">
        <v>0</v>
      </c>
      <c r="D9" s="202">
        <v>0</v>
      </c>
      <c r="E9" s="202">
        <v>0</v>
      </c>
      <c r="F9" s="202">
        <v>0</v>
      </c>
      <c r="G9" s="201">
        <v>0</v>
      </c>
      <c r="H9" s="197">
        <f>'Class List'!$C9</f>
        <v>10</v>
      </c>
      <c r="I9" s="194">
        <f>SUM(B9:G9)</f>
        <v>0</v>
      </c>
      <c r="J9" s="195" t="str">
        <f t="shared" si="1"/>
        <v>Beginning</v>
      </c>
      <c r="K9" s="306"/>
      <c r="L9" s="308"/>
      <c r="M9" s="306"/>
      <c r="N9" s="306"/>
      <c r="O9" s="306"/>
      <c r="P9" s="306"/>
      <c r="Q9" s="306"/>
      <c r="R9" s="306"/>
      <c r="S9" s="307"/>
    </row>
    <row r="10" spans="1:19" ht="30" customHeight="1" x14ac:dyDescent="0.25">
      <c r="A10" s="198" t="str">
        <f>'Class List'!A10</f>
        <v>Student</v>
      </c>
      <c r="B10" s="201">
        <v>0</v>
      </c>
      <c r="C10" s="202">
        <v>0</v>
      </c>
      <c r="D10" s="202">
        <v>0</v>
      </c>
      <c r="E10" s="202">
        <v>0</v>
      </c>
      <c r="F10" s="202">
        <v>0</v>
      </c>
      <c r="G10" s="201">
        <v>0</v>
      </c>
      <c r="H10" s="197">
        <f>'Class List'!$C10</f>
        <v>10</v>
      </c>
      <c r="I10" s="194">
        <f t="shared" si="0"/>
        <v>0</v>
      </c>
      <c r="J10" s="195" t="str">
        <f t="shared" si="1"/>
        <v>Beginning</v>
      </c>
      <c r="K10" s="306"/>
      <c r="L10" s="308"/>
      <c r="M10" s="306"/>
      <c r="N10" s="306"/>
      <c r="O10" s="306"/>
      <c r="P10" s="306"/>
      <c r="Q10" s="306"/>
      <c r="R10" s="306"/>
      <c r="S10" s="307"/>
    </row>
    <row r="11" spans="1:19" ht="30" customHeight="1" x14ac:dyDescent="0.25">
      <c r="A11" s="198" t="str">
        <f>'Class List'!A11</f>
        <v>Student</v>
      </c>
      <c r="B11" s="201">
        <v>0</v>
      </c>
      <c r="C11" s="202">
        <v>0</v>
      </c>
      <c r="D11" s="202">
        <v>0</v>
      </c>
      <c r="E11" s="202">
        <v>0</v>
      </c>
      <c r="F11" s="202">
        <v>0</v>
      </c>
      <c r="G11" s="201">
        <v>0</v>
      </c>
      <c r="H11" s="197">
        <f>'Class List'!$C11</f>
        <v>9</v>
      </c>
      <c r="I11" s="194">
        <f t="shared" si="0"/>
        <v>0</v>
      </c>
      <c r="J11" s="195" t="str">
        <f t="shared" si="1"/>
        <v>Beginning</v>
      </c>
      <c r="K11" s="306"/>
      <c r="L11" s="308"/>
      <c r="M11" s="306"/>
      <c r="N11" s="306"/>
      <c r="O11" s="306"/>
      <c r="P11" s="306"/>
      <c r="Q11" s="306"/>
      <c r="R11" s="306"/>
      <c r="S11" s="307"/>
    </row>
    <row r="12" spans="1:19" ht="30" customHeight="1" x14ac:dyDescent="0.25">
      <c r="A12" s="198" t="str">
        <f>'Class List'!A12</f>
        <v>Student</v>
      </c>
      <c r="B12" s="201">
        <v>0</v>
      </c>
      <c r="C12" s="202">
        <v>0</v>
      </c>
      <c r="D12" s="202">
        <v>0</v>
      </c>
      <c r="E12" s="202">
        <v>0</v>
      </c>
      <c r="F12" s="202">
        <v>0</v>
      </c>
      <c r="G12" s="201">
        <v>0</v>
      </c>
      <c r="H12" s="197">
        <f>'Class List'!$C12</f>
        <v>9</v>
      </c>
      <c r="I12" s="194">
        <f t="shared" si="0"/>
        <v>0</v>
      </c>
      <c r="J12" s="195" t="str">
        <f t="shared" si="1"/>
        <v>Beginning</v>
      </c>
      <c r="K12" s="306"/>
      <c r="L12" s="308"/>
      <c r="M12" s="306"/>
      <c r="N12" s="306"/>
      <c r="O12" s="306"/>
      <c r="P12" s="306"/>
      <c r="Q12" s="306"/>
      <c r="R12" s="306"/>
      <c r="S12" s="307"/>
    </row>
    <row r="13" spans="1:19" ht="30" customHeight="1" x14ac:dyDescent="0.25">
      <c r="A13" s="198" t="str">
        <f>'Class List'!A13</f>
        <v>Student</v>
      </c>
      <c r="B13" s="201">
        <v>0</v>
      </c>
      <c r="C13" s="202">
        <v>0</v>
      </c>
      <c r="D13" s="202">
        <v>0</v>
      </c>
      <c r="E13" s="202">
        <v>0</v>
      </c>
      <c r="F13" s="202">
        <v>0</v>
      </c>
      <c r="G13" s="201">
        <v>0</v>
      </c>
      <c r="H13" s="197">
        <f>'Class List'!$C13</f>
        <v>9</v>
      </c>
      <c r="I13" s="194">
        <f t="shared" si="0"/>
        <v>0</v>
      </c>
      <c r="J13" s="195" t="str">
        <f t="shared" si="1"/>
        <v>Beginning</v>
      </c>
      <c r="K13" s="306"/>
      <c r="L13" s="308"/>
      <c r="M13" s="306"/>
      <c r="N13" s="306"/>
      <c r="O13" s="306"/>
      <c r="P13" s="306"/>
      <c r="Q13" s="306"/>
      <c r="R13" s="306"/>
      <c r="S13" s="307"/>
    </row>
    <row r="14" spans="1:19" ht="30" customHeight="1" x14ac:dyDescent="0.25">
      <c r="A14" s="198" t="str">
        <f>'Class List'!A14</f>
        <v>Student</v>
      </c>
      <c r="B14" s="201">
        <v>0</v>
      </c>
      <c r="C14" s="202">
        <v>0</v>
      </c>
      <c r="D14" s="202">
        <v>0</v>
      </c>
      <c r="E14" s="202">
        <v>0</v>
      </c>
      <c r="F14" s="202">
        <v>0</v>
      </c>
      <c r="G14" s="201">
        <v>0</v>
      </c>
      <c r="H14" s="197">
        <f>'Class List'!$C14</f>
        <v>9</v>
      </c>
      <c r="I14" s="194">
        <f t="shared" si="0"/>
        <v>0</v>
      </c>
      <c r="J14" s="195" t="str">
        <f t="shared" si="1"/>
        <v>Beginning</v>
      </c>
      <c r="K14" s="306"/>
      <c r="L14" s="308"/>
      <c r="M14" s="306"/>
      <c r="N14" s="306"/>
      <c r="O14" s="306"/>
      <c r="P14" s="306"/>
      <c r="Q14" s="306"/>
      <c r="R14" s="306"/>
      <c r="S14" s="307"/>
    </row>
    <row r="15" spans="1:19" ht="30" customHeight="1" x14ac:dyDescent="0.25">
      <c r="A15" s="198" t="str">
        <f>'Class List'!A15</f>
        <v>Student</v>
      </c>
      <c r="B15" s="201">
        <v>0</v>
      </c>
      <c r="C15" s="202">
        <v>0</v>
      </c>
      <c r="D15" s="202">
        <v>0</v>
      </c>
      <c r="E15" s="202">
        <v>0</v>
      </c>
      <c r="F15" s="202">
        <v>0</v>
      </c>
      <c r="G15" s="201">
        <v>0</v>
      </c>
      <c r="H15" s="197">
        <f>'Class List'!$C15</f>
        <v>10</v>
      </c>
      <c r="I15" s="194">
        <f t="shared" si="0"/>
        <v>0</v>
      </c>
      <c r="J15" s="195" t="str">
        <f t="shared" si="1"/>
        <v>Beginning</v>
      </c>
      <c r="K15" s="306"/>
      <c r="L15" s="308"/>
      <c r="M15" s="306"/>
      <c r="N15" s="306"/>
      <c r="O15" s="306"/>
      <c r="P15" s="306"/>
      <c r="Q15" s="306"/>
      <c r="R15" s="306"/>
      <c r="S15" s="307"/>
    </row>
    <row r="16" spans="1:19" ht="30" customHeight="1" x14ac:dyDescent="0.25">
      <c r="A16" s="198" t="str">
        <f>'Class List'!A16</f>
        <v>Student</v>
      </c>
      <c r="B16" s="201">
        <v>0</v>
      </c>
      <c r="C16" s="202">
        <v>0</v>
      </c>
      <c r="D16" s="202">
        <v>0</v>
      </c>
      <c r="E16" s="202">
        <v>0</v>
      </c>
      <c r="F16" s="202">
        <v>0</v>
      </c>
      <c r="G16" s="201">
        <v>0</v>
      </c>
      <c r="H16" s="197">
        <f>'Class List'!$C16</f>
        <v>9</v>
      </c>
      <c r="I16" s="194">
        <f t="shared" si="0"/>
        <v>0</v>
      </c>
      <c r="J16" s="195" t="str">
        <f t="shared" si="1"/>
        <v>Beginning</v>
      </c>
      <c r="K16" s="306"/>
      <c r="L16" s="308"/>
      <c r="M16" s="306"/>
      <c r="N16" s="306"/>
      <c r="O16" s="306"/>
      <c r="P16" s="306"/>
      <c r="Q16" s="306"/>
      <c r="R16" s="306"/>
      <c r="S16" s="307"/>
    </row>
    <row r="17" spans="1:19" ht="30" customHeight="1" x14ac:dyDescent="0.25">
      <c r="A17" s="198" t="str">
        <f>'Class List'!A17</f>
        <v>Student</v>
      </c>
      <c r="B17" s="201">
        <v>0</v>
      </c>
      <c r="C17" s="202">
        <v>0</v>
      </c>
      <c r="D17" s="202">
        <v>0</v>
      </c>
      <c r="E17" s="202">
        <v>0</v>
      </c>
      <c r="F17" s="202">
        <v>0</v>
      </c>
      <c r="G17" s="201">
        <v>0</v>
      </c>
      <c r="H17" s="197">
        <f>'Class List'!$C17</f>
        <v>9</v>
      </c>
      <c r="I17" s="194">
        <f t="shared" si="0"/>
        <v>0</v>
      </c>
      <c r="J17" s="195" t="str">
        <f t="shared" si="1"/>
        <v>Beginning</v>
      </c>
      <c r="K17" s="306"/>
      <c r="L17" s="308"/>
      <c r="M17" s="306"/>
      <c r="N17" s="306"/>
      <c r="O17" s="306"/>
      <c r="P17" s="306"/>
      <c r="Q17" s="306"/>
      <c r="R17" s="306"/>
      <c r="S17" s="307"/>
    </row>
    <row r="18" spans="1:19" ht="30" customHeight="1" x14ac:dyDescent="0.25">
      <c r="A18" s="198" t="str">
        <f>'Class List'!A18</f>
        <v>Student</v>
      </c>
      <c r="B18" s="201">
        <v>0</v>
      </c>
      <c r="C18" s="202">
        <v>0</v>
      </c>
      <c r="D18" s="202">
        <v>0</v>
      </c>
      <c r="E18" s="202">
        <v>0</v>
      </c>
      <c r="F18" s="202">
        <v>0</v>
      </c>
      <c r="G18" s="201">
        <v>0</v>
      </c>
      <c r="H18" s="197">
        <f>'Class List'!$C18</f>
        <v>10</v>
      </c>
      <c r="I18" s="194">
        <f t="shared" si="0"/>
        <v>0</v>
      </c>
      <c r="J18" s="195" t="str">
        <f t="shared" si="1"/>
        <v>Beginning</v>
      </c>
      <c r="K18" s="306"/>
      <c r="L18" s="308"/>
      <c r="M18" s="306"/>
      <c r="N18" s="306"/>
      <c r="O18" s="306"/>
      <c r="P18" s="306"/>
      <c r="Q18" s="306"/>
      <c r="R18" s="306"/>
      <c r="S18" s="307"/>
    </row>
    <row r="19" spans="1:19" ht="30" customHeight="1" x14ac:dyDescent="0.25">
      <c r="A19" s="198" t="str">
        <f>'Class List'!A19</f>
        <v>Student</v>
      </c>
      <c r="B19" s="201">
        <v>0</v>
      </c>
      <c r="C19" s="202">
        <v>0</v>
      </c>
      <c r="D19" s="202">
        <v>0</v>
      </c>
      <c r="E19" s="202">
        <v>0</v>
      </c>
      <c r="F19" s="202">
        <v>0</v>
      </c>
      <c r="G19" s="201">
        <v>0</v>
      </c>
      <c r="H19" s="197">
        <f>'Class List'!$C19</f>
        <v>10</v>
      </c>
      <c r="I19" s="194">
        <f t="shared" si="0"/>
        <v>0</v>
      </c>
      <c r="J19" s="195" t="str">
        <f t="shared" si="1"/>
        <v>Beginning</v>
      </c>
      <c r="K19" s="306"/>
      <c r="L19" s="308"/>
      <c r="M19" s="306"/>
      <c r="N19" s="306"/>
      <c r="O19" s="306"/>
      <c r="P19" s="306"/>
      <c r="Q19" s="306"/>
      <c r="R19" s="306"/>
      <c r="S19" s="307"/>
    </row>
    <row r="20" spans="1:19" ht="30" customHeight="1" x14ac:dyDescent="0.25">
      <c r="A20" s="198" t="str">
        <f>'Class List'!A20</f>
        <v>Student</v>
      </c>
      <c r="B20" s="201">
        <v>0</v>
      </c>
      <c r="C20" s="202">
        <v>0</v>
      </c>
      <c r="D20" s="202">
        <v>0</v>
      </c>
      <c r="E20" s="202">
        <v>0</v>
      </c>
      <c r="F20" s="202">
        <v>0</v>
      </c>
      <c r="G20" s="201">
        <v>0</v>
      </c>
      <c r="H20" s="197">
        <f>'Class List'!$C20</f>
        <v>10</v>
      </c>
      <c r="I20" s="194">
        <f t="shared" si="0"/>
        <v>0</v>
      </c>
      <c r="J20" s="195" t="str">
        <f t="shared" si="1"/>
        <v>Beginning</v>
      </c>
      <c r="K20" s="306"/>
      <c r="L20" s="308"/>
      <c r="M20" s="306"/>
      <c r="N20" s="306"/>
      <c r="O20" s="306"/>
      <c r="P20" s="306"/>
      <c r="Q20" s="306"/>
      <c r="R20" s="306"/>
      <c r="S20" s="307"/>
    </row>
    <row r="21" spans="1:19" ht="30" customHeight="1" x14ac:dyDescent="0.25">
      <c r="A21" s="198" t="str">
        <f>'Class List'!A21</f>
        <v>Student</v>
      </c>
      <c r="B21" s="201">
        <v>0</v>
      </c>
      <c r="C21" s="202">
        <v>0</v>
      </c>
      <c r="D21" s="202">
        <v>0</v>
      </c>
      <c r="E21" s="202">
        <v>0</v>
      </c>
      <c r="F21" s="202">
        <v>0</v>
      </c>
      <c r="G21" s="201">
        <v>0</v>
      </c>
      <c r="H21" s="197">
        <f>'Class List'!$C21</f>
        <v>9</v>
      </c>
      <c r="I21" s="194">
        <f t="shared" si="0"/>
        <v>0</v>
      </c>
      <c r="J21" s="195" t="str">
        <f t="shared" si="1"/>
        <v>Beginning</v>
      </c>
      <c r="K21" s="306"/>
      <c r="L21" s="308"/>
      <c r="M21" s="306"/>
      <c r="N21" s="306"/>
      <c r="O21" s="306"/>
      <c r="P21" s="306"/>
      <c r="Q21" s="306"/>
      <c r="R21" s="306"/>
      <c r="S21" s="307"/>
    </row>
    <row r="22" spans="1:19" ht="30" customHeight="1" x14ac:dyDescent="0.25">
      <c r="A22" s="198" t="str">
        <f>'Class List'!A22</f>
        <v>Student</v>
      </c>
      <c r="B22" s="201">
        <v>0</v>
      </c>
      <c r="C22" s="202">
        <v>0</v>
      </c>
      <c r="D22" s="202">
        <v>0</v>
      </c>
      <c r="E22" s="202">
        <v>0</v>
      </c>
      <c r="F22" s="202">
        <v>0</v>
      </c>
      <c r="G22" s="201">
        <v>0</v>
      </c>
      <c r="H22" s="197">
        <f>'Class List'!$C22</f>
        <v>10</v>
      </c>
      <c r="I22" s="194">
        <f t="shared" si="0"/>
        <v>0</v>
      </c>
      <c r="J22" s="195" t="str">
        <f t="shared" si="1"/>
        <v>Beginning</v>
      </c>
      <c r="K22" s="306"/>
      <c r="L22" s="308"/>
      <c r="M22" s="306"/>
      <c r="N22" s="306"/>
      <c r="O22" s="306"/>
      <c r="P22" s="306"/>
      <c r="Q22" s="306"/>
      <c r="R22" s="306"/>
      <c r="S22" s="307"/>
    </row>
    <row r="23" spans="1:19" ht="30" customHeight="1" x14ac:dyDescent="0.25">
      <c r="A23" s="198" t="str">
        <f>'Class List'!A23</f>
        <v>Student</v>
      </c>
      <c r="B23" s="201">
        <v>0</v>
      </c>
      <c r="C23" s="202">
        <v>0</v>
      </c>
      <c r="D23" s="202">
        <v>0</v>
      </c>
      <c r="E23" s="202">
        <v>0</v>
      </c>
      <c r="F23" s="202">
        <v>0</v>
      </c>
      <c r="G23" s="201">
        <v>0</v>
      </c>
      <c r="H23" s="197">
        <f>'Class List'!$C23</f>
        <v>10</v>
      </c>
      <c r="I23" s="194">
        <f t="shared" si="0"/>
        <v>0</v>
      </c>
      <c r="J23" s="195" t="str">
        <f t="shared" si="1"/>
        <v>Beginning</v>
      </c>
      <c r="K23" s="306"/>
      <c r="L23" s="308"/>
      <c r="M23" s="306"/>
      <c r="N23" s="306"/>
      <c r="O23" s="306"/>
      <c r="P23" s="306"/>
      <c r="Q23" s="306"/>
      <c r="R23" s="306"/>
      <c r="S23" s="307"/>
    </row>
    <row r="24" spans="1:19" ht="30" customHeight="1" x14ac:dyDescent="0.25">
      <c r="A24" s="198" t="str">
        <f>'Class List'!A24</f>
        <v>Student</v>
      </c>
      <c r="B24" s="201">
        <v>0</v>
      </c>
      <c r="C24" s="202">
        <v>0</v>
      </c>
      <c r="D24" s="202">
        <v>0</v>
      </c>
      <c r="E24" s="202">
        <v>0</v>
      </c>
      <c r="F24" s="202">
        <v>0</v>
      </c>
      <c r="G24" s="201">
        <v>0</v>
      </c>
      <c r="H24" s="197">
        <f>'Class List'!$C24</f>
        <v>9</v>
      </c>
      <c r="I24" s="194">
        <f t="shared" si="0"/>
        <v>0</v>
      </c>
      <c r="J24" s="195" t="str">
        <f t="shared" si="1"/>
        <v>Beginning</v>
      </c>
      <c r="K24" s="306"/>
      <c r="L24" s="308"/>
      <c r="M24" s="306"/>
      <c r="N24" s="306"/>
      <c r="O24" s="306"/>
      <c r="P24" s="306"/>
      <c r="Q24" s="306"/>
      <c r="R24" s="306"/>
      <c r="S24" s="307"/>
    </row>
    <row r="25" spans="1:19" ht="30" customHeight="1" x14ac:dyDescent="0.25">
      <c r="A25" s="198" t="str">
        <f>'Class List'!A25</f>
        <v>Student</v>
      </c>
      <c r="B25" s="201">
        <v>0</v>
      </c>
      <c r="C25" s="202">
        <v>0</v>
      </c>
      <c r="D25" s="202">
        <v>0</v>
      </c>
      <c r="E25" s="202">
        <v>0</v>
      </c>
      <c r="F25" s="202">
        <v>0</v>
      </c>
      <c r="G25" s="201">
        <v>0</v>
      </c>
      <c r="H25" s="197">
        <f>'Class List'!$C25</f>
        <v>10</v>
      </c>
      <c r="I25" s="194">
        <f t="shared" si="0"/>
        <v>0</v>
      </c>
      <c r="J25" s="195" t="str">
        <f t="shared" si="1"/>
        <v>Beginning</v>
      </c>
      <c r="K25" s="306"/>
      <c r="L25" s="308"/>
      <c r="M25" s="306"/>
      <c r="N25" s="306"/>
      <c r="O25" s="306"/>
      <c r="P25" s="306"/>
      <c r="Q25" s="306"/>
      <c r="R25" s="306"/>
      <c r="S25" s="307"/>
    </row>
    <row r="26" spans="1:19" ht="30" customHeight="1" x14ac:dyDescent="0.25">
      <c r="A26" s="198" t="str">
        <f>'Class List'!A26</f>
        <v>Student</v>
      </c>
      <c r="B26" s="201">
        <v>0</v>
      </c>
      <c r="C26" s="202">
        <v>0</v>
      </c>
      <c r="D26" s="202">
        <v>0</v>
      </c>
      <c r="E26" s="202">
        <v>0</v>
      </c>
      <c r="F26" s="202">
        <v>0</v>
      </c>
      <c r="G26" s="201">
        <v>0</v>
      </c>
      <c r="H26" s="197">
        <f>'Class List'!$C26</f>
        <v>10</v>
      </c>
      <c r="I26" s="194">
        <f t="shared" si="0"/>
        <v>0</v>
      </c>
      <c r="J26" s="195" t="str">
        <f t="shared" si="1"/>
        <v>Beginning</v>
      </c>
      <c r="K26" s="306"/>
      <c r="L26" s="308"/>
      <c r="M26" s="306"/>
      <c r="N26" s="306"/>
      <c r="O26" s="306"/>
      <c r="P26" s="306"/>
      <c r="Q26" s="306"/>
      <c r="R26" s="306"/>
      <c r="S26" s="307"/>
    </row>
    <row r="27" spans="1:19" ht="30" customHeight="1" x14ac:dyDescent="0.25">
      <c r="A27" s="198" t="str">
        <f>'Class List'!A27</f>
        <v>Student</v>
      </c>
      <c r="B27" s="201">
        <v>0</v>
      </c>
      <c r="C27" s="202">
        <v>0</v>
      </c>
      <c r="D27" s="202">
        <v>0</v>
      </c>
      <c r="E27" s="202">
        <v>0</v>
      </c>
      <c r="F27" s="202">
        <v>0</v>
      </c>
      <c r="G27" s="201">
        <v>0</v>
      </c>
      <c r="H27" s="197">
        <f>'Class List'!$C27</f>
        <v>9</v>
      </c>
      <c r="I27" s="194">
        <f t="shared" si="0"/>
        <v>0</v>
      </c>
      <c r="J27" s="195" t="str">
        <f t="shared" si="1"/>
        <v>Beginning</v>
      </c>
      <c r="K27" s="306"/>
      <c r="L27" s="308"/>
      <c r="M27" s="306"/>
      <c r="N27" s="306"/>
      <c r="O27" s="306"/>
      <c r="P27" s="306"/>
      <c r="Q27" s="306"/>
      <c r="R27" s="306"/>
      <c r="S27" s="307"/>
    </row>
    <row r="28" spans="1:19" ht="30" customHeight="1" x14ac:dyDescent="0.25">
      <c r="A28" s="198" t="str">
        <f>'Class List'!A28</f>
        <v>Student</v>
      </c>
      <c r="B28" s="201">
        <v>0</v>
      </c>
      <c r="C28" s="202">
        <v>0</v>
      </c>
      <c r="D28" s="202">
        <v>0</v>
      </c>
      <c r="E28" s="202">
        <v>0</v>
      </c>
      <c r="F28" s="202">
        <v>0</v>
      </c>
      <c r="G28" s="201">
        <v>0</v>
      </c>
      <c r="H28" s="197">
        <f>'Class List'!$C28</f>
        <v>9</v>
      </c>
      <c r="I28" s="194">
        <f t="shared" si="0"/>
        <v>0</v>
      </c>
      <c r="J28" s="195" t="str">
        <f t="shared" si="1"/>
        <v>Beginning</v>
      </c>
      <c r="K28" s="306"/>
      <c r="L28" s="308"/>
      <c r="M28" s="306"/>
      <c r="N28" s="306"/>
      <c r="O28" s="306"/>
      <c r="P28" s="306"/>
      <c r="Q28" s="306"/>
      <c r="R28" s="306"/>
      <c r="S28" s="307"/>
    </row>
    <row r="29" spans="1:19" ht="30" customHeight="1" x14ac:dyDescent="0.25">
      <c r="A29" s="198" t="str">
        <f>'Class List'!A29</f>
        <v>Student</v>
      </c>
      <c r="B29" s="201">
        <v>0</v>
      </c>
      <c r="C29" s="202">
        <v>0</v>
      </c>
      <c r="D29" s="202">
        <v>0</v>
      </c>
      <c r="E29" s="202">
        <v>0</v>
      </c>
      <c r="F29" s="202">
        <v>0</v>
      </c>
      <c r="G29" s="201">
        <v>0</v>
      </c>
      <c r="H29" s="197">
        <f>'Class List'!$C29</f>
        <v>9</v>
      </c>
      <c r="I29" s="194">
        <f t="shared" si="0"/>
        <v>0</v>
      </c>
      <c r="J29" s="195" t="str">
        <f t="shared" si="1"/>
        <v>Beginning</v>
      </c>
      <c r="K29" s="306"/>
      <c r="L29" s="308"/>
      <c r="M29" s="306"/>
      <c r="N29" s="306"/>
      <c r="O29" s="306"/>
      <c r="P29" s="306"/>
      <c r="Q29" s="306"/>
      <c r="R29" s="306"/>
      <c r="S29" s="307"/>
    </row>
    <row r="30" spans="1:19" ht="30" customHeight="1" x14ac:dyDescent="0.25">
      <c r="A30" s="198" t="str">
        <f>'Class List'!A30</f>
        <v>Student</v>
      </c>
      <c r="B30" s="201">
        <v>0</v>
      </c>
      <c r="C30" s="202">
        <v>0</v>
      </c>
      <c r="D30" s="202">
        <v>0</v>
      </c>
      <c r="E30" s="202">
        <v>0</v>
      </c>
      <c r="F30" s="202">
        <v>0</v>
      </c>
      <c r="G30" s="201">
        <v>0</v>
      </c>
      <c r="H30" s="197">
        <f>'Class List'!$C30</f>
        <v>9</v>
      </c>
      <c r="I30" s="194">
        <f t="shared" si="0"/>
        <v>0</v>
      </c>
      <c r="J30" s="195" t="str">
        <f t="shared" si="1"/>
        <v>Beginning</v>
      </c>
      <c r="K30" s="306"/>
      <c r="L30" s="308"/>
      <c r="M30" s="306"/>
      <c r="N30" s="306"/>
      <c r="O30" s="306"/>
      <c r="P30" s="306"/>
      <c r="Q30" s="306"/>
      <c r="R30" s="306"/>
      <c r="S30" s="307"/>
    </row>
    <row r="31" spans="1:19" ht="30" customHeight="1" x14ac:dyDescent="0.25">
      <c r="A31" s="198">
        <f>'Class List'!A31</f>
        <v>0</v>
      </c>
      <c r="B31" s="201">
        <v>0</v>
      </c>
      <c r="C31" s="202">
        <v>0</v>
      </c>
      <c r="D31" s="202">
        <v>0</v>
      </c>
      <c r="E31" s="202">
        <v>0</v>
      </c>
      <c r="F31" s="202">
        <v>0</v>
      </c>
      <c r="G31" s="201">
        <v>0</v>
      </c>
      <c r="H31" s="197">
        <f>'Class List'!$C31</f>
        <v>0</v>
      </c>
      <c r="I31" s="194">
        <f t="shared" si="0"/>
        <v>0</v>
      </c>
      <c r="J31" s="195" t="str">
        <f t="shared" si="1"/>
        <v>Age Not Found</v>
      </c>
      <c r="K31" s="306"/>
      <c r="L31" s="308"/>
      <c r="M31" s="306"/>
      <c r="N31" s="306"/>
      <c r="O31" s="306"/>
      <c r="P31" s="306"/>
      <c r="Q31" s="306"/>
      <c r="R31" s="306"/>
      <c r="S31" s="307"/>
    </row>
    <row r="32" spans="1:19" ht="30" customHeight="1" x14ac:dyDescent="0.25">
      <c r="A32" s="198">
        <f>'Class List'!A32</f>
        <v>0</v>
      </c>
      <c r="B32" s="201">
        <v>0</v>
      </c>
      <c r="C32" s="202">
        <v>0</v>
      </c>
      <c r="D32" s="202">
        <v>0</v>
      </c>
      <c r="E32" s="202">
        <v>0</v>
      </c>
      <c r="F32" s="202">
        <v>0</v>
      </c>
      <c r="G32" s="201">
        <v>0</v>
      </c>
      <c r="H32" s="197">
        <f>'Class List'!$C32</f>
        <v>0</v>
      </c>
      <c r="I32" s="194">
        <f t="shared" si="0"/>
        <v>0</v>
      </c>
      <c r="J32" s="195" t="str">
        <f t="shared" si="1"/>
        <v>Age Not Found</v>
      </c>
      <c r="K32" s="306"/>
      <c r="L32" s="308"/>
      <c r="M32" s="306"/>
      <c r="N32" s="306"/>
      <c r="O32" s="306"/>
      <c r="P32" s="306"/>
      <c r="Q32" s="306"/>
      <c r="R32" s="306"/>
      <c r="S32" s="307"/>
    </row>
    <row r="33" spans="1:19" ht="30" customHeight="1" x14ac:dyDescent="0.25">
      <c r="A33" s="198">
        <f>'Class List'!A33</f>
        <v>0</v>
      </c>
      <c r="B33" s="201">
        <v>0</v>
      </c>
      <c r="C33" s="202">
        <v>0</v>
      </c>
      <c r="D33" s="202">
        <v>0</v>
      </c>
      <c r="E33" s="202">
        <v>0</v>
      </c>
      <c r="F33" s="202">
        <v>0</v>
      </c>
      <c r="G33" s="201">
        <v>0</v>
      </c>
      <c r="H33" s="197">
        <f>'Class List'!$C33</f>
        <v>0</v>
      </c>
      <c r="I33" s="194">
        <f t="shared" si="0"/>
        <v>0</v>
      </c>
      <c r="J33" s="195" t="str">
        <f t="shared" si="1"/>
        <v>Age Not Found</v>
      </c>
      <c r="K33" s="306"/>
      <c r="L33" s="308"/>
      <c r="M33" s="306"/>
      <c r="N33" s="306"/>
      <c r="O33" s="306"/>
      <c r="P33" s="306"/>
      <c r="Q33" s="306"/>
      <c r="R33" s="306"/>
      <c r="S33" s="307"/>
    </row>
    <row r="34" spans="1:19" ht="30" customHeight="1" thickBot="1" x14ac:dyDescent="0.3">
      <c r="A34" s="198">
        <f>'Class List'!A34</f>
        <v>0</v>
      </c>
      <c r="B34" s="203">
        <v>0</v>
      </c>
      <c r="C34" s="204">
        <v>0</v>
      </c>
      <c r="D34" s="204">
        <v>0</v>
      </c>
      <c r="E34" s="204">
        <v>0</v>
      </c>
      <c r="F34" s="204">
        <v>0</v>
      </c>
      <c r="G34" s="203">
        <v>0</v>
      </c>
      <c r="H34" s="197">
        <f>'Class List'!$C34</f>
        <v>0</v>
      </c>
      <c r="I34" s="194">
        <f t="shared" si="0"/>
        <v>0</v>
      </c>
      <c r="J34" s="195" t="str">
        <f t="shared" si="1"/>
        <v>Age Not Found</v>
      </c>
      <c r="K34" s="306"/>
      <c r="L34" s="308"/>
      <c r="M34" s="306"/>
      <c r="N34" s="306"/>
      <c r="O34" s="306"/>
      <c r="P34" s="306"/>
      <c r="Q34" s="306"/>
      <c r="R34" s="306"/>
      <c r="S34" s="307"/>
    </row>
    <row r="35" spans="1:19" ht="13.05" customHeight="1" thickTop="1" thickBot="1" x14ac:dyDescent="0.3">
      <c r="A35" s="191" t="s">
        <v>34</v>
      </c>
      <c r="B35" s="192">
        <f t="shared" ref="B35:G35" si="2">SUM(B5:B34)</f>
        <v>1</v>
      </c>
      <c r="C35" s="192">
        <f t="shared" si="2"/>
        <v>1</v>
      </c>
      <c r="D35" s="192">
        <f t="shared" si="2"/>
        <v>1</v>
      </c>
      <c r="E35" s="192">
        <f t="shared" si="2"/>
        <v>1</v>
      </c>
      <c r="F35" s="192">
        <f t="shared" si="2"/>
        <v>0</v>
      </c>
      <c r="G35" s="192">
        <f t="shared" si="2"/>
        <v>0</v>
      </c>
      <c r="H35" s="192"/>
      <c r="I35" s="192"/>
      <c r="J35" s="193"/>
      <c r="K35" s="306"/>
      <c r="L35" s="308"/>
      <c r="M35" s="306"/>
      <c r="N35" s="306"/>
      <c r="O35" s="306"/>
      <c r="P35" s="306"/>
      <c r="Q35" s="306"/>
      <c r="R35" s="306"/>
      <c r="S35" s="307"/>
    </row>
    <row r="36" spans="1:19" ht="15.6" customHeight="1" thickTop="1" x14ac:dyDescent="0.3">
      <c r="A36" s="327" t="s">
        <v>35</v>
      </c>
      <c r="B36" s="328"/>
      <c r="C36" s="328"/>
      <c r="D36" s="328"/>
      <c r="E36" s="329"/>
      <c r="F36" s="306"/>
      <c r="G36" s="306"/>
      <c r="I36" s="340"/>
      <c r="J36" s="306"/>
      <c r="K36" s="306"/>
      <c r="L36" s="308"/>
      <c r="M36" s="306"/>
      <c r="N36" s="306"/>
      <c r="O36" s="306"/>
      <c r="P36" s="306"/>
      <c r="Q36" s="306"/>
      <c r="R36" s="306"/>
      <c r="S36" s="307"/>
    </row>
    <row r="37" spans="1:19" ht="13.05" customHeight="1" x14ac:dyDescent="0.25">
      <c r="A37" s="324"/>
      <c r="B37" s="325"/>
      <c r="C37" s="325"/>
      <c r="D37" s="325"/>
      <c r="E37" s="326"/>
      <c r="F37" s="306"/>
      <c r="G37" s="306"/>
      <c r="I37" s="306"/>
      <c r="J37" s="306"/>
      <c r="K37" s="306"/>
      <c r="L37" s="308"/>
      <c r="M37" s="306"/>
      <c r="N37" s="306"/>
      <c r="O37" s="306"/>
      <c r="P37" s="306"/>
      <c r="Q37" s="306"/>
      <c r="R37" s="306"/>
      <c r="S37" s="307"/>
    </row>
    <row r="38" spans="1:19" ht="13.05" customHeight="1" x14ac:dyDescent="0.25">
      <c r="A38" s="5" t="s">
        <v>5</v>
      </c>
      <c r="B38" s="6" t="s">
        <v>37</v>
      </c>
      <c r="C38" s="6" t="s">
        <v>38</v>
      </c>
      <c r="D38" s="6" t="s">
        <v>39</v>
      </c>
      <c r="E38" s="7" t="s">
        <v>40</v>
      </c>
      <c r="F38" s="306"/>
      <c r="G38" s="306"/>
      <c r="I38" s="8" t="s">
        <v>41</v>
      </c>
      <c r="J38" s="9"/>
      <c r="K38" s="306"/>
      <c r="L38" s="308"/>
      <c r="M38" s="306"/>
      <c r="N38" s="306"/>
      <c r="O38" s="306"/>
      <c r="P38" s="306"/>
      <c r="Q38" s="306"/>
      <c r="R38" s="306"/>
      <c r="S38" s="307"/>
    </row>
    <row r="39" spans="1:19" ht="12.6" customHeight="1" x14ac:dyDescent="0.25">
      <c r="A39" s="32">
        <v>5</v>
      </c>
      <c r="B39" s="10">
        <v>0</v>
      </c>
      <c r="C39" s="10">
        <v>0</v>
      </c>
      <c r="D39" s="10">
        <v>1</v>
      </c>
      <c r="E39" s="11">
        <v>2</v>
      </c>
      <c r="F39" s="306"/>
      <c r="G39" s="306"/>
      <c r="I39" s="12" t="s">
        <v>42</v>
      </c>
      <c r="J39" s="13">
        <f>COUNTIF(J$5:J$34, "Beginning")</f>
        <v>26</v>
      </c>
      <c r="K39" s="306"/>
      <c r="L39" s="308"/>
      <c r="M39" s="306"/>
      <c r="N39" s="306"/>
      <c r="O39" s="306"/>
      <c r="P39" s="306"/>
      <c r="Q39" s="306"/>
      <c r="R39" s="306"/>
      <c r="S39" s="307"/>
    </row>
    <row r="40" spans="1:19" ht="12.6" customHeight="1" x14ac:dyDescent="0.25">
      <c r="A40" s="32">
        <v>6</v>
      </c>
      <c r="B40" s="10">
        <v>1</v>
      </c>
      <c r="C40" s="10">
        <v>2</v>
      </c>
      <c r="D40" s="10">
        <v>3</v>
      </c>
      <c r="E40" s="11">
        <v>4</v>
      </c>
      <c r="F40" s="306"/>
      <c r="G40" s="306"/>
      <c r="I40" s="12" t="s">
        <v>38</v>
      </c>
      <c r="J40" s="13">
        <f>COUNTIF(J$5:J$34, "Progressing")</f>
        <v>0</v>
      </c>
      <c r="K40" s="306"/>
      <c r="L40" s="308"/>
      <c r="M40" s="306"/>
      <c r="N40" s="306"/>
      <c r="O40" s="306"/>
      <c r="P40" s="306"/>
      <c r="Q40" s="306"/>
      <c r="R40" s="306"/>
      <c r="S40" s="307"/>
    </row>
    <row r="41" spans="1:19" ht="12.6" customHeight="1" x14ac:dyDescent="0.25">
      <c r="A41" s="32">
        <v>7</v>
      </c>
      <c r="B41" s="43">
        <v>4</v>
      </c>
      <c r="C41" s="62">
        <v>5</v>
      </c>
      <c r="D41" s="10">
        <v>6</v>
      </c>
      <c r="E41" s="11">
        <v>7</v>
      </c>
      <c r="F41" s="306"/>
      <c r="G41" s="306"/>
      <c r="I41" s="12" t="s">
        <v>43</v>
      </c>
      <c r="J41" s="13">
        <f>COUNTIF(J$5:J$34, "Achieving")</f>
        <v>0</v>
      </c>
      <c r="K41" s="306"/>
      <c r="L41" s="308"/>
      <c r="M41" s="306"/>
      <c r="N41" s="306"/>
      <c r="O41" s="306"/>
      <c r="P41" s="306"/>
      <c r="Q41" s="306"/>
      <c r="R41" s="306"/>
      <c r="S41" s="307"/>
    </row>
    <row r="42" spans="1:19" ht="12.6" customHeight="1" x14ac:dyDescent="0.25">
      <c r="A42" s="32">
        <v>8</v>
      </c>
      <c r="B42" s="10">
        <v>4</v>
      </c>
      <c r="C42" s="10">
        <v>5</v>
      </c>
      <c r="D42" s="10">
        <v>6</v>
      </c>
      <c r="E42" s="11">
        <v>7</v>
      </c>
      <c r="F42" s="306"/>
      <c r="G42" s="306"/>
      <c r="I42" s="12" t="s">
        <v>40</v>
      </c>
      <c r="J42" s="13">
        <f>COUNTIF(J$5:J$34, "Excelling")</f>
        <v>0</v>
      </c>
      <c r="K42" s="306"/>
      <c r="L42" s="308"/>
      <c r="M42" s="306"/>
      <c r="N42" s="306"/>
      <c r="O42" s="306"/>
      <c r="P42" s="306"/>
      <c r="Q42" s="306"/>
      <c r="R42" s="306"/>
      <c r="S42" s="307"/>
    </row>
    <row r="43" spans="1:19" ht="12.6" customHeight="1" x14ac:dyDescent="0.25">
      <c r="A43" s="33">
        <v>9</v>
      </c>
      <c r="B43" s="10">
        <v>4</v>
      </c>
      <c r="C43" s="10">
        <v>5</v>
      </c>
      <c r="D43" s="10">
        <v>6</v>
      </c>
      <c r="E43" s="11">
        <v>7</v>
      </c>
      <c r="F43" s="306"/>
      <c r="G43" s="306"/>
      <c r="I43" s="306"/>
      <c r="J43" s="306"/>
      <c r="K43" s="306"/>
      <c r="L43" s="308"/>
      <c r="M43" s="306"/>
      <c r="N43" s="306"/>
      <c r="O43" s="306"/>
      <c r="P43" s="306"/>
      <c r="Q43" s="306"/>
      <c r="R43" s="306"/>
      <c r="S43" s="307"/>
    </row>
    <row r="44" spans="1:19" ht="12.6" customHeight="1" x14ac:dyDescent="0.25">
      <c r="A44" s="32">
        <v>10</v>
      </c>
      <c r="B44" s="10">
        <v>4</v>
      </c>
      <c r="C44" s="10">
        <v>5</v>
      </c>
      <c r="D44" s="10">
        <v>6</v>
      </c>
      <c r="E44" s="11">
        <v>7</v>
      </c>
      <c r="F44" s="306"/>
      <c r="G44" s="306"/>
      <c r="I44" s="306"/>
      <c r="J44" s="306"/>
      <c r="K44" s="306"/>
      <c r="L44" s="309"/>
      <c r="M44" s="310"/>
      <c r="N44" s="310"/>
      <c r="O44" s="310"/>
      <c r="P44" s="310"/>
      <c r="Q44" s="310"/>
      <c r="R44" s="310"/>
      <c r="S44" s="311"/>
    </row>
    <row r="45" spans="1:19" ht="12.6" customHeight="1" x14ac:dyDescent="0.25">
      <c r="A45" s="32">
        <v>11</v>
      </c>
      <c r="B45" s="10">
        <v>4</v>
      </c>
      <c r="C45" s="10">
        <v>5</v>
      </c>
      <c r="D45" s="10">
        <v>6</v>
      </c>
      <c r="E45" s="11">
        <v>7</v>
      </c>
      <c r="F45" s="306"/>
      <c r="G45" s="306"/>
      <c r="I45" s="306"/>
      <c r="J45" s="306"/>
      <c r="K45" s="306"/>
      <c r="L45" s="306"/>
      <c r="M45" s="306"/>
      <c r="N45" s="306"/>
      <c r="O45" s="306"/>
      <c r="P45" s="306"/>
      <c r="Q45" s="306"/>
      <c r="R45" s="306"/>
      <c r="S45" s="306"/>
    </row>
    <row r="46" spans="1:19" ht="12.6" customHeight="1" x14ac:dyDescent="0.25">
      <c r="A46" s="34">
        <v>12</v>
      </c>
      <c r="B46" s="14">
        <v>4</v>
      </c>
      <c r="C46" s="14">
        <v>5</v>
      </c>
      <c r="D46" s="14">
        <v>6</v>
      </c>
      <c r="E46" s="15">
        <v>7</v>
      </c>
      <c r="F46" s="306"/>
      <c r="G46" s="306"/>
      <c r="I46" s="306"/>
      <c r="J46" s="306"/>
      <c r="K46" s="306"/>
      <c r="L46" s="306"/>
      <c r="M46" s="306"/>
      <c r="N46" s="306"/>
      <c r="O46" s="306"/>
      <c r="P46" s="306"/>
      <c r="Q46" s="306"/>
      <c r="R46" s="306"/>
      <c r="S46" s="306"/>
    </row>
    <row r="48" spans="1:19"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5">
    <mergeCell ref="A2:B2"/>
    <mergeCell ref="F2:J2"/>
    <mergeCell ref="C2:E2"/>
    <mergeCell ref="A1:J1"/>
    <mergeCell ref="K1:K46"/>
    <mergeCell ref="A36:E36"/>
    <mergeCell ref="F36:G46"/>
    <mergeCell ref="A37:E37"/>
    <mergeCell ref="I36:J37"/>
    <mergeCell ref="I43:J46"/>
    <mergeCell ref="L1:S1"/>
    <mergeCell ref="L2:O2"/>
    <mergeCell ref="L45:S46"/>
    <mergeCell ref="P2:S2"/>
    <mergeCell ref="L3:S44"/>
  </mergeCells>
  <conditionalFormatting sqref="J5:J34">
    <cfRule type="containsText" dxfId="161" priority="1" operator="containsText" text="Error">
      <formula>NOT(ISERROR(SEARCH("Error",J5)))</formula>
    </cfRule>
    <cfRule type="containsText" dxfId="160" priority="2" operator="containsText" text="Age Not Found">
      <formula>NOT(ISERROR(SEARCH("Age Not Found",J5)))</formula>
    </cfRule>
    <cfRule type="containsText" dxfId="159" priority="3" operator="containsText" text="Beginning">
      <formula>NOT(ISERROR(SEARCH("Beginning",J5)))</formula>
    </cfRule>
    <cfRule type="containsText" dxfId="158" priority="4" operator="containsText" text="Progressing">
      <formula>NOT(ISERROR(SEARCH("Progressing",J5)))</formula>
    </cfRule>
    <cfRule type="containsText" dxfId="157" priority="5" operator="containsText" text="Achieving">
      <formula>NOT(ISERROR(SEARCH("Achieving",J5)))</formula>
    </cfRule>
    <cfRule type="containsText" dxfId="156" priority="6" operator="containsText" text="Excelling">
      <formula>NOT(ISERROR(SEARCH("Excelling",J5)))</formula>
    </cfRule>
  </conditionalFormatting>
  <dataValidations count="2">
    <dataValidation type="list" allowBlank="1" showInputMessage="1" showErrorMessage="1" sqref="J5:J34" xr:uid="{00000000-0002-0000-0400-000000000000}">
      <formula1>$A$48:$A$52</formula1>
    </dataValidation>
    <dataValidation type="list" allowBlank="1" showInputMessage="1" showErrorMessage="1" sqref="B5:G34" xr:uid="{31B73FC7-4D4B-4994-BE7A-27E7B0A34576}">
      <formula1>"1, 0"</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outlinePr summaryBelow="0" summaryRight="0"/>
  </sheetPr>
  <dimension ref="A1:S52"/>
  <sheetViews>
    <sheetView showGridLines="0" zoomScale="55" zoomScaleNormal="55" workbookViewId="0">
      <pane xSplit="1" ySplit="3" topLeftCell="B4" activePane="bottomRight" state="frozen"/>
      <selection activeCell="J5" sqref="J5:J34"/>
      <selection pane="topRight" activeCell="J5" sqref="J5:J34"/>
      <selection pane="bottomLeft" activeCell="J5" sqref="J5:J34"/>
      <selection pane="bottomRight" activeCell="E8" sqref="E8"/>
    </sheetView>
  </sheetViews>
  <sheetFormatPr defaultColWidth="12.5546875" defaultRowHeight="15.75" customHeight="1" x14ac:dyDescent="0.25"/>
  <cols>
    <col min="1" max="1" width="27" customWidth="1"/>
    <col min="2" max="7" width="27.21875" customWidth="1"/>
    <col min="8" max="8" width="14.109375" customWidth="1"/>
    <col min="9" max="9" width="13.109375" customWidth="1"/>
    <col min="19" max="19" width="20.21875" customWidth="1"/>
  </cols>
  <sheetData>
    <row r="1" spans="1:19" ht="29.4" customHeight="1" thickTop="1" thickBot="1" x14ac:dyDescent="0.8">
      <c r="A1" s="312" t="s">
        <v>81</v>
      </c>
      <c r="B1" s="313"/>
      <c r="C1" s="313"/>
      <c r="D1" s="313"/>
      <c r="E1" s="313"/>
      <c r="F1" s="313"/>
      <c r="G1" s="313"/>
      <c r="H1" s="313"/>
      <c r="I1" s="313"/>
      <c r="J1" s="314"/>
      <c r="K1" s="306"/>
      <c r="L1" s="315" t="s">
        <v>20</v>
      </c>
      <c r="M1" s="316"/>
      <c r="N1" s="316"/>
      <c r="O1" s="316"/>
      <c r="P1" s="316"/>
      <c r="Q1" s="316"/>
      <c r="R1" s="316"/>
      <c r="S1" s="317"/>
    </row>
    <row r="2" spans="1:19" ht="59.4" customHeight="1" thickTop="1" thickBot="1" x14ac:dyDescent="0.55000000000000004">
      <c r="A2" s="331" t="s">
        <v>82</v>
      </c>
      <c r="B2" s="333"/>
      <c r="C2" s="331" t="s">
        <v>83</v>
      </c>
      <c r="D2" s="332"/>
      <c r="E2" s="332"/>
      <c r="F2" s="333"/>
      <c r="G2" s="331" t="s">
        <v>84</v>
      </c>
      <c r="H2" s="332"/>
      <c r="I2" s="332"/>
      <c r="J2" s="333"/>
      <c r="K2" s="306"/>
      <c r="L2" s="318" t="s">
        <v>24</v>
      </c>
      <c r="M2" s="319"/>
      <c r="N2" s="319"/>
      <c r="O2" s="320"/>
      <c r="P2" s="321"/>
      <c r="Q2" s="322"/>
      <c r="R2" s="322"/>
      <c r="S2" s="323"/>
    </row>
    <row r="3" spans="1:19" ht="65.55" customHeight="1" thickTop="1" thickBot="1" x14ac:dyDescent="0.3">
      <c r="A3" s="196" t="s">
        <v>25</v>
      </c>
      <c r="B3" s="26" t="s">
        <v>85</v>
      </c>
      <c r="C3" s="38" t="s">
        <v>86</v>
      </c>
      <c r="D3" s="19" t="s">
        <v>87</v>
      </c>
      <c r="E3" s="20" t="s">
        <v>88</v>
      </c>
      <c r="F3" s="17" t="s">
        <v>89</v>
      </c>
      <c r="G3" s="20" t="s">
        <v>90</v>
      </c>
      <c r="H3" s="66" t="s">
        <v>5</v>
      </c>
      <c r="I3" s="41" t="s">
        <v>80</v>
      </c>
      <c r="J3" s="4" t="s">
        <v>32</v>
      </c>
      <c r="K3" s="306"/>
      <c r="L3" s="305"/>
      <c r="M3" s="306"/>
      <c r="N3" s="306"/>
      <c r="O3" s="306"/>
      <c r="P3" s="306"/>
      <c r="Q3" s="306"/>
      <c r="R3" s="306"/>
      <c r="S3" s="307"/>
    </row>
    <row r="4" spans="1:19" ht="13.05" customHeight="1" thickTop="1" x14ac:dyDescent="0.25">
      <c r="A4" s="189" t="s">
        <v>33</v>
      </c>
      <c r="B4" s="27">
        <v>5</v>
      </c>
      <c r="C4" s="30">
        <v>8</v>
      </c>
      <c r="D4" s="30">
        <v>8</v>
      </c>
      <c r="E4" s="29">
        <v>7</v>
      </c>
      <c r="F4" s="31">
        <v>9</v>
      </c>
      <c r="G4" s="29">
        <v>7</v>
      </c>
      <c r="H4" s="2"/>
      <c r="I4" s="22"/>
      <c r="J4" s="23"/>
      <c r="K4" s="306"/>
      <c r="L4" s="308"/>
      <c r="M4" s="306"/>
      <c r="N4" s="306"/>
      <c r="O4" s="306"/>
      <c r="P4" s="306"/>
      <c r="Q4" s="306"/>
      <c r="R4" s="306"/>
      <c r="S4" s="307"/>
    </row>
    <row r="5" spans="1:19" ht="30" customHeight="1" x14ac:dyDescent="0.25">
      <c r="A5" s="198" t="str">
        <f>'Class List'!A5</f>
        <v>Student</v>
      </c>
      <c r="B5" s="199">
        <v>1</v>
      </c>
      <c r="C5" s="200">
        <v>1</v>
      </c>
      <c r="D5" s="200">
        <v>1</v>
      </c>
      <c r="E5" s="200">
        <v>1</v>
      </c>
      <c r="F5" s="200">
        <v>1</v>
      </c>
      <c r="G5" s="199">
        <v>1</v>
      </c>
      <c r="H5" s="197">
        <f>'Class List'!$C5</f>
        <v>9</v>
      </c>
      <c r="I5" s="194">
        <f t="shared" ref="I5:I34" si="0">SUM(B5:G5)</f>
        <v>6</v>
      </c>
      <c r="J5" s="195" t="str">
        <f t="shared" ref="J5:J34" si="1">IFERROR(
   IF(I5 &lt;= INDEX($B$36:$B$46, MATCH(H5, $A$36:$A$46, 0)), "Beginning",
      IF(I5 &lt;= INDEX($C$36:$C$46, MATCH(H5, $A$36:$A$46, 0)), "Progressing",
         IF(I5 &lt;= INDEX($D$36:$D$46, MATCH(H5, $A$36:$A$46, 0)), "Achieving",
            IF(I5 &gt;= INDEX($E$36:$E$46, MATCH(H5, $A$36:$A$46, 0)), "Excelling", "Error")))),
   "Age Not Found")</f>
        <v>Achieving</v>
      </c>
      <c r="K5" s="306"/>
      <c r="L5" s="308"/>
      <c r="M5" s="306"/>
      <c r="N5" s="306"/>
      <c r="O5" s="306"/>
      <c r="P5" s="306"/>
      <c r="Q5" s="306"/>
      <c r="R5" s="306"/>
      <c r="S5" s="307"/>
    </row>
    <row r="6" spans="1:19" ht="30" customHeight="1" x14ac:dyDescent="0.25">
      <c r="A6" s="198" t="str">
        <f>'Class List'!A6</f>
        <v>Student</v>
      </c>
      <c r="B6" s="201">
        <v>0</v>
      </c>
      <c r="C6" s="202">
        <v>0</v>
      </c>
      <c r="D6" s="202">
        <v>0</v>
      </c>
      <c r="E6" s="202">
        <v>0</v>
      </c>
      <c r="F6" s="202">
        <v>0</v>
      </c>
      <c r="G6" s="201">
        <v>0</v>
      </c>
      <c r="H6" s="197">
        <f>'Class List'!$C6</f>
        <v>10</v>
      </c>
      <c r="I6" s="194">
        <f t="shared" si="0"/>
        <v>0</v>
      </c>
      <c r="J6" s="195" t="str">
        <f t="shared" si="1"/>
        <v>Beginning</v>
      </c>
      <c r="K6" s="306"/>
      <c r="L6" s="308"/>
      <c r="M6" s="306"/>
      <c r="N6" s="306"/>
      <c r="O6" s="306"/>
      <c r="P6" s="306"/>
      <c r="Q6" s="306"/>
      <c r="R6" s="306"/>
      <c r="S6" s="307"/>
    </row>
    <row r="7" spans="1:19" ht="30" customHeight="1" x14ac:dyDescent="0.25">
      <c r="A7" s="198" t="str">
        <f>'Class List'!A7</f>
        <v>Student</v>
      </c>
      <c r="B7" s="201">
        <v>0</v>
      </c>
      <c r="C7" s="202">
        <v>0</v>
      </c>
      <c r="D7" s="202">
        <v>0</v>
      </c>
      <c r="E7" s="202">
        <v>0</v>
      </c>
      <c r="F7" s="202">
        <v>0</v>
      </c>
      <c r="G7" s="201">
        <v>0</v>
      </c>
      <c r="H7" s="197">
        <f>'Class List'!$C7</f>
        <v>9</v>
      </c>
      <c r="I7" s="194">
        <f t="shared" si="0"/>
        <v>0</v>
      </c>
      <c r="J7" s="195" t="str">
        <f t="shared" si="1"/>
        <v>Beginning</v>
      </c>
      <c r="K7" s="306"/>
      <c r="L7" s="308"/>
      <c r="M7" s="306"/>
      <c r="N7" s="306"/>
      <c r="O7" s="306"/>
      <c r="P7" s="306"/>
      <c r="Q7" s="306"/>
      <c r="R7" s="306"/>
      <c r="S7" s="307"/>
    </row>
    <row r="8" spans="1:19" ht="30" customHeight="1" x14ac:dyDescent="0.25">
      <c r="A8" s="198" t="str">
        <f>'Class List'!A8</f>
        <v>Student</v>
      </c>
      <c r="B8" s="201">
        <v>0</v>
      </c>
      <c r="C8" s="202">
        <v>0</v>
      </c>
      <c r="D8" s="202">
        <v>0</v>
      </c>
      <c r="E8" s="202">
        <v>0</v>
      </c>
      <c r="F8" s="202">
        <v>0</v>
      </c>
      <c r="G8" s="201">
        <v>0</v>
      </c>
      <c r="H8" s="197">
        <f>'Class List'!$C8</f>
        <v>10</v>
      </c>
      <c r="I8" s="194">
        <f t="shared" si="0"/>
        <v>0</v>
      </c>
      <c r="J8" s="195" t="str">
        <f t="shared" si="1"/>
        <v>Beginning</v>
      </c>
      <c r="K8" s="306"/>
      <c r="L8" s="308"/>
      <c r="M8" s="306"/>
      <c r="N8" s="306"/>
      <c r="O8" s="306"/>
      <c r="P8" s="306"/>
      <c r="Q8" s="306"/>
      <c r="R8" s="306"/>
      <c r="S8" s="307"/>
    </row>
    <row r="9" spans="1:19" ht="30" customHeight="1" x14ac:dyDescent="0.25">
      <c r="A9" s="198" t="str">
        <f>'Class List'!A9</f>
        <v>Student</v>
      </c>
      <c r="B9" s="201">
        <v>0</v>
      </c>
      <c r="C9" s="202">
        <v>0</v>
      </c>
      <c r="D9" s="202">
        <v>0</v>
      </c>
      <c r="E9" s="202">
        <v>0</v>
      </c>
      <c r="F9" s="202">
        <v>0</v>
      </c>
      <c r="G9" s="201">
        <v>0</v>
      </c>
      <c r="H9" s="197">
        <f>'Class List'!$C9</f>
        <v>10</v>
      </c>
      <c r="I9" s="194">
        <f t="shared" si="0"/>
        <v>0</v>
      </c>
      <c r="J9" s="195" t="str">
        <f t="shared" si="1"/>
        <v>Beginning</v>
      </c>
      <c r="K9" s="306"/>
      <c r="L9" s="308"/>
      <c r="M9" s="306"/>
      <c r="N9" s="306"/>
      <c r="O9" s="306"/>
      <c r="P9" s="306"/>
      <c r="Q9" s="306"/>
      <c r="R9" s="306"/>
      <c r="S9" s="307"/>
    </row>
    <row r="10" spans="1:19" ht="30" customHeight="1" x14ac:dyDescent="0.25">
      <c r="A10" s="198" t="str">
        <f>'Class List'!A10</f>
        <v>Student</v>
      </c>
      <c r="B10" s="201">
        <v>0</v>
      </c>
      <c r="C10" s="202">
        <v>0</v>
      </c>
      <c r="D10" s="202">
        <v>0</v>
      </c>
      <c r="E10" s="202">
        <v>0</v>
      </c>
      <c r="F10" s="202">
        <v>0</v>
      </c>
      <c r="G10" s="201">
        <v>0</v>
      </c>
      <c r="H10" s="197">
        <f>'Class List'!$C10</f>
        <v>10</v>
      </c>
      <c r="I10" s="194">
        <f t="shared" si="0"/>
        <v>0</v>
      </c>
      <c r="J10" s="195" t="str">
        <f t="shared" si="1"/>
        <v>Beginning</v>
      </c>
      <c r="K10" s="306"/>
      <c r="L10" s="308"/>
      <c r="M10" s="306"/>
      <c r="N10" s="306"/>
      <c r="O10" s="306"/>
      <c r="P10" s="306"/>
      <c r="Q10" s="306"/>
      <c r="R10" s="306"/>
      <c r="S10" s="307"/>
    </row>
    <row r="11" spans="1:19" ht="30" customHeight="1" x14ac:dyDescent="0.25">
      <c r="A11" s="198" t="str">
        <f>'Class List'!A11</f>
        <v>Student</v>
      </c>
      <c r="B11" s="201">
        <v>0</v>
      </c>
      <c r="C11" s="202">
        <v>0</v>
      </c>
      <c r="D11" s="202">
        <v>0</v>
      </c>
      <c r="E11" s="202">
        <v>0</v>
      </c>
      <c r="F11" s="202">
        <v>0</v>
      </c>
      <c r="G11" s="201">
        <v>0</v>
      </c>
      <c r="H11" s="197">
        <f>'Class List'!$C11</f>
        <v>9</v>
      </c>
      <c r="I11" s="194">
        <f t="shared" si="0"/>
        <v>0</v>
      </c>
      <c r="J11" s="195" t="str">
        <f t="shared" si="1"/>
        <v>Beginning</v>
      </c>
      <c r="K11" s="306"/>
      <c r="L11" s="308"/>
      <c r="M11" s="306"/>
      <c r="N11" s="306"/>
      <c r="O11" s="306"/>
      <c r="P11" s="306"/>
      <c r="Q11" s="306"/>
      <c r="R11" s="306"/>
      <c r="S11" s="307"/>
    </row>
    <row r="12" spans="1:19" ht="30" customHeight="1" x14ac:dyDescent="0.25">
      <c r="A12" s="198" t="str">
        <f>'Class List'!A12</f>
        <v>Student</v>
      </c>
      <c r="B12" s="201">
        <v>0</v>
      </c>
      <c r="C12" s="202">
        <v>0</v>
      </c>
      <c r="D12" s="202">
        <v>0</v>
      </c>
      <c r="E12" s="202">
        <v>0</v>
      </c>
      <c r="F12" s="202">
        <v>0</v>
      </c>
      <c r="G12" s="201">
        <v>0</v>
      </c>
      <c r="H12" s="197">
        <f>'Class List'!$C12</f>
        <v>9</v>
      </c>
      <c r="I12" s="194">
        <f t="shared" si="0"/>
        <v>0</v>
      </c>
      <c r="J12" s="195" t="str">
        <f t="shared" si="1"/>
        <v>Beginning</v>
      </c>
      <c r="K12" s="306"/>
      <c r="L12" s="308"/>
      <c r="M12" s="306"/>
      <c r="N12" s="306"/>
      <c r="O12" s="306"/>
      <c r="P12" s="306"/>
      <c r="Q12" s="306"/>
      <c r="R12" s="306"/>
      <c r="S12" s="307"/>
    </row>
    <row r="13" spans="1:19" ht="30" customHeight="1" x14ac:dyDescent="0.25">
      <c r="A13" s="198" t="str">
        <f>'Class List'!A13</f>
        <v>Student</v>
      </c>
      <c r="B13" s="201">
        <v>0</v>
      </c>
      <c r="C13" s="202">
        <v>0</v>
      </c>
      <c r="D13" s="202">
        <v>1</v>
      </c>
      <c r="E13" s="202">
        <v>0</v>
      </c>
      <c r="F13" s="202">
        <v>0</v>
      </c>
      <c r="G13" s="201">
        <v>0</v>
      </c>
      <c r="H13" s="197">
        <f>'Class List'!$C13</f>
        <v>9</v>
      </c>
      <c r="I13" s="194">
        <f t="shared" si="0"/>
        <v>1</v>
      </c>
      <c r="J13" s="195" t="str">
        <f t="shared" si="1"/>
        <v>Beginning</v>
      </c>
      <c r="K13" s="306"/>
      <c r="L13" s="308"/>
      <c r="M13" s="306"/>
      <c r="N13" s="306"/>
      <c r="O13" s="306"/>
      <c r="P13" s="306"/>
      <c r="Q13" s="306"/>
      <c r="R13" s="306"/>
      <c r="S13" s="307"/>
    </row>
    <row r="14" spans="1:19" ht="30" customHeight="1" x14ac:dyDescent="0.25">
      <c r="A14" s="198" t="str">
        <f>'Class List'!A14</f>
        <v>Student</v>
      </c>
      <c r="B14" s="201">
        <v>0</v>
      </c>
      <c r="C14" s="202">
        <v>0</v>
      </c>
      <c r="D14" s="202">
        <v>0</v>
      </c>
      <c r="E14" s="202">
        <v>0</v>
      </c>
      <c r="F14" s="202">
        <v>0</v>
      </c>
      <c r="G14" s="201">
        <v>0</v>
      </c>
      <c r="H14" s="197">
        <f>'Class List'!$C14</f>
        <v>9</v>
      </c>
      <c r="I14" s="194">
        <f t="shared" si="0"/>
        <v>0</v>
      </c>
      <c r="J14" s="195" t="str">
        <f t="shared" si="1"/>
        <v>Beginning</v>
      </c>
      <c r="K14" s="306"/>
      <c r="L14" s="308"/>
      <c r="M14" s="306"/>
      <c r="N14" s="306"/>
      <c r="O14" s="306"/>
      <c r="P14" s="306"/>
      <c r="Q14" s="306"/>
      <c r="R14" s="306"/>
      <c r="S14" s="307"/>
    </row>
    <row r="15" spans="1:19" ht="30" customHeight="1" x14ac:dyDescent="0.25">
      <c r="A15" s="198" t="str">
        <f>'Class List'!A15</f>
        <v>Student</v>
      </c>
      <c r="B15" s="201">
        <v>0</v>
      </c>
      <c r="C15" s="202">
        <v>0</v>
      </c>
      <c r="D15" s="202">
        <v>0</v>
      </c>
      <c r="E15" s="202">
        <v>0</v>
      </c>
      <c r="F15" s="202">
        <v>0</v>
      </c>
      <c r="G15" s="201">
        <v>0</v>
      </c>
      <c r="H15" s="197">
        <f>'Class List'!$C15</f>
        <v>10</v>
      </c>
      <c r="I15" s="194">
        <f t="shared" si="0"/>
        <v>0</v>
      </c>
      <c r="J15" s="195" t="str">
        <f t="shared" si="1"/>
        <v>Beginning</v>
      </c>
      <c r="K15" s="306"/>
      <c r="L15" s="308"/>
      <c r="M15" s="306"/>
      <c r="N15" s="306"/>
      <c r="O15" s="306"/>
      <c r="P15" s="306"/>
      <c r="Q15" s="306"/>
      <c r="R15" s="306"/>
      <c r="S15" s="307"/>
    </row>
    <row r="16" spans="1:19" ht="30" customHeight="1" x14ac:dyDescent="0.25">
      <c r="A16" s="198" t="str">
        <f>'Class List'!A16</f>
        <v>Student</v>
      </c>
      <c r="B16" s="201">
        <v>0</v>
      </c>
      <c r="C16" s="202">
        <v>0</v>
      </c>
      <c r="D16" s="202">
        <v>0</v>
      </c>
      <c r="E16" s="202">
        <v>0</v>
      </c>
      <c r="F16" s="202">
        <v>0</v>
      </c>
      <c r="G16" s="201">
        <v>0</v>
      </c>
      <c r="H16" s="197">
        <f>'Class List'!$C16</f>
        <v>9</v>
      </c>
      <c r="I16" s="194">
        <f t="shared" si="0"/>
        <v>0</v>
      </c>
      <c r="J16" s="195" t="str">
        <f t="shared" si="1"/>
        <v>Beginning</v>
      </c>
      <c r="K16" s="306"/>
      <c r="L16" s="308"/>
      <c r="M16" s="306"/>
      <c r="N16" s="306"/>
      <c r="O16" s="306"/>
      <c r="P16" s="306"/>
      <c r="Q16" s="306"/>
      <c r="R16" s="306"/>
      <c r="S16" s="307"/>
    </row>
    <row r="17" spans="1:19" ht="30" customHeight="1" x14ac:dyDescent="0.25">
      <c r="A17" s="198" t="str">
        <f>'Class List'!A17</f>
        <v>Student</v>
      </c>
      <c r="B17" s="201">
        <v>0</v>
      </c>
      <c r="C17" s="202">
        <v>0</v>
      </c>
      <c r="D17" s="202">
        <v>0</v>
      </c>
      <c r="E17" s="202">
        <v>0</v>
      </c>
      <c r="F17" s="202">
        <v>0</v>
      </c>
      <c r="G17" s="201">
        <v>0</v>
      </c>
      <c r="H17" s="197">
        <f>'Class List'!$C17</f>
        <v>9</v>
      </c>
      <c r="I17" s="194">
        <f t="shared" si="0"/>
        <v>0</v>
      </c>
      <c r="J17" s="195" t="str">
        <f t="shared" si="1"/>
        <v>Beginning</v>
      </c>
      <c r="K17" s="306"/>
      <c r="L17" s="308"/>
      <c r="M17" s="306"/>
      <c r="N17" s="306"/>
      <c r="O17" s="306"/>
      <c r="P17" s="306"/>
      <c r="Q17" s="306"/>
      <c r="R17" s="306"/>
      <c r="S17" s="307"/>
    </row>
    <row r="18" spans="1:19" ht="30" customHeight="1" x14ac:dyDescent="0.25">
      <c r="A18" s="198" t="str">
        <f>'Class List'!A18</f>
        <v>Student</v>
      </c>
      <c r="B18" s="201">
        <v>0</v>
      </c>
      <c r="C18" s="202">
        <v>0</v>
      </c>
      <c r="D18" s="202">
        <v>0</v>
      </c>
      <c r="E18" s="202">
        <v>0</v>
      </c>
      <c r="F18" s="202">
        <v>0</v>
      </c>
      <c r="G18" s="201">
        <v>0</v>
      </c>
      <c r="H18" s="197">
        <f>'Class List'!$C18</f>
        <v>10</v>
      </c>
      <c r="I18" s="194">
        <f t="shared" si="0"/>
        <v>0</v>
      </c>
      <c r="J18" s="195" t="str">
        <f t="shared" si="1"/>
        <v>Beginning</v>
      </c>
      <c r="K18" s="306"/>
      <c r="L18" s="308"/>
      <c r="M18" s="306"/>
      <c r="N18" s="306"/>
      <c r="O18" s="306"/>
      <c r="P18" s="306"/>
      <c r="Q18" s="306"/>
      <c r="R18" s="306"/>
      <c r="S18" s="307"/>
    </row>
    <row r="19" spans="1:19" ht="30" customHeight="1" x14ac:dyDescent="0.25">
      <c r="A19" s="198" t="str">
        <f>'Class List'!A19</f>
        <v>Student</v>
      </c>
      <c r="B19" s="201">
        <v>0</v>
      </c>
      <c r="C19" s="202">
        <v>0</v>
      </c>
      <c r="D19" s="202">
        <v>0</v>
      </c>
      <c r="E19" s="202">
        <v>0</v>
      </c>
      <c r="F19" s="202">
        <v>0</v>
      </c>
      <c r="G19" s="201">
        <v>0</v>
      </c>
      <c r="H19" s="197">
        <f>'Class List'!$C19</f>
        <v>10</v>
      </c>
      <c r="I19" s="194">
        <f t="shared" si="0"/>
        <v>0</v>
      </c>
      <c r="J19" s="195" t="str">
        <f t="shared" si="1"/>
        <v>Beginning</v>
      </c>
      <c r="K19" s="306"/>
      <c r="L19" s="308"/>
      <c r="M19" s="306"/>
      <c r="N19" s="306"/>
      <c r="O19" s="306"/>
      <c r="P19" s="306"/>
      <c r="Q19" s="306"/>
      <c r="R19" s="306"/>
      <c r="S19" s="307"/>
    </row>
    <row r="20" spans="1:19" ht="30" customHeight="1" x14ac:dyDescent="0.25">
      <c r="A20" s="198" t="str">
        <f>'Class List'!A20</f>
        <v>Student</v>
      </c>
      <c r="B20" s="201">
        <v>0</v>
      </c>
      <c r="C20" s="202">
        <v>0</v>
      </c>
      <c r="D20" s="202">
        <v>0</v>
      </c>
      <c r="E20" s="202">
        <v>0</v>
      </c>
      <c r="F20" s="202">
        <v>0</v>
      </c>
      <c r="G20" s="201">
        <v>0</v>
      </c>
      <c r="H20" s="197">
        <f>'Class List'!$C20</f>
        <v>10</v>
      </c>
      <c r="I20" s="194">
        <f t="shared" si="0"/>
        <v>0</v>
      </c>
      <c r="J20" s="195" t="str">
        <f t="shared" si="1"/>
        <v>Beginning</v>
      </c>
      <c r="K20" s="306"/>
      <c r="L20" s="308"/>
      <c r="M20" s="306"/>
      <c r="N20" s="306"/>
      <c r="O20" s="306"/>
      <c r="P20" s="306"/>
      <c r="Q20" s="306"/>
      <c r="R20" s="306"/>
      <c r="S20" s="307"/>
    </row>
    <row r="21" spans="1:19" ht="30" customHeight="1" x14ac:dyDescent="0.25">
      <c r="A21" s="198" t="str">
        <f>'Class List'!A21</f>
        <v>Student</v>
      </c>
      <c r="B21" s="201">
        <v>0</v>
      </c>
      <c r="C21" s="202">
        <v>0</v>
      </c>
      <c r="D21" s="202">
        <v>0</v>
      </c>
      <c r="E21" s="202">
        <v>0</v>
      </c>
      <c r="F21" s="202">
        <v>0</v>
      </c>
      <c r="G21" s="201">
        <v>0</v>
      </c>
      <c r="H21" s="197">
        <f>'Class List'!$C21</f>
        <v>9</v>
      </c>
      <c r="I21" s="194">
        <f t="shared" si="0"/>
        <v>0</v>
      </c>
      <c r="J21" s="195" t="str">
        <f t="shared" si="1"/>
        <v>Beginning</v>
      </c>
      <c r="K21" s="306"/>
      <c r="L21" s="308"/>
      <c r="M21" s="306"/>
      <c r="N21" s="306"/>
      <c r="O21" s="306"/>
      <c r="P21" s="306"/>
      <c r="Q21" s="306"/>
      <c r="R21" s="306"/>
      <c r="S21" s="307"/>
    </row>
    <row r="22" spans="1:19" ht="30" customHeight="1" x14ac:dyDescent="0.25">
      <c r="A22" s="198" t="str">
        <f>'Class List'!A22</f>
        <v>Student</v>
      </c>
      <c r="B22" s="201">
        <v>0</v>
      </c>
      <c r="C22" s="202">
        <v>0</v>
      </c>
      <c r="D22" s="202">
        <v>0</v>
      </c>
      <c r="E22" s="202">
        <v>0</v>
      </c>
      <c r="F22" s="202">
        <v>0</v>
      </c>
      <c r="G22" s="201">
        <v>0</v>
      </c>
      <c r="H22" s="197">
        <f>'Class List'!$C22</f>
        <v>10</v>
      </c>
      <c r="I22" s="194">
        <f t="shared" si="0"/>
        <v>0</v>
      </c>
      <c r="J22" s="195" t="str">
        <f t="shared" si="1"/>
        <v>Beginning</v>
      </c>
      <c r="K22" s="306"/>
      <c r="L22" s="308"/>
      <c r="M22" s="306"/>
      <c r="N22" s="306"/>
      <c r="O22" s="306"/>
      <c r="P22" s="306"/>
      <c r="Q22" s="306"/>
      <c r="R22" s="306"/>
      <c r="S22" s="307"/>
    </row>
    <row r="23" spans="1:19" ht="30" customHeight="1" x14ac:dyDescent="0.25">
      <c r="A23" s="198" t="str">
        <f>'Class List'!A23</f>
        <v>Student</v>
      </c>
      <c r="B23" s="201">
        <v>0</v>
      </c>
      <c r="C23" s="202">
        <v>0</v>
      </c>
      <c r="D23" s="202">
        <v>0</v>
      </c>
      <c r="E23" s="202">
        <v>0</v>
      </c>
      <c r="F23" s="202">
        <v>0</v>
      </c>
      <c r="G23" s="201">
        <v>0</v>
      </c>
      <c r="H23" s="197">
        <f>'Class List'!$C23</f>
        <v>10</v>
      </c>
      <c r="I23" s="194">
        <f t="shared" si="0"/>
        <v>0</v>
      </c>
      <c r="J23" s="195" t="str">
        <f t="shared" si="1"/>
        <v>Beginning</v>
      </c>
      <c r="K23" s="306"/>
      <c r="L23" s="308"/>
      <c r="M23" s="306"/>
      <c r="N23" s="306"/>
      <c r="O23" s="306"/>
      <c r="P23" s="306"/>
      <c r="Q23" s="306"/>
      <c r="R23" s="306"/>
      <c r="S23" s="307"/>
    </row>
    <row r="24" spans="1:19" ht="30" customHeight="1" x14ac:dyDescent="0.25">
      <c r="A24" s="198" t="str">
        <f>'Class List'!A24</f>
        <v>Student</v>
      </c>
      <c r="B24" s="201">
        <v>0</v>
      </c>
      <c r="C24" s="202">
        <v>0</v>
      </c>
      <c r="D24" s="202">
        <v>0</v>
      </c>
      <c r="E24" s="202">
        <v>0</v>
      </c>
      <c r="F24" s="202">
        <v>0</v>
      </c>
      <c r="G24" s="201">
        <v>0</v>
      </c>
      <c r="H24" s="197">
        <f>'Class List'!$C24</f>
        <v>9</v>
      </c>
      <c r="I24" s="194">
        <f t="shared" si="0"/>
        <v>0</v>
      </c>
      <c r="J24" s="195" t="str">
        <f t="shared" si="1"/>
        <v>Beginning</v>
      </c>
      <c r="K24" s="306"/>
      <c r="L24" s="308"/>
      <c r="M24" s="306"/>
      <c r="N24" s="306"/>
      <c r="O24" s="306"/>
      <c r="P24" s="306"/>
      <c r="Q24" s="306"/>
      <c r="R24" s="306"/>
      <c r="S24" s="307"/>
    </row>
    <row r="25" spans="1:19" ht="30" customHeight="1" x14ac:dyDescent="0.25">
      <c r="A25" s="198" t="str">
        <f>'Class List'!A25</f>
        <v>Student</v>
      </c>
      <c r="B25" s="201">
        <v>0</v>
      </c>
      <c r="C25" s="202">
        <v>0</v>
      </c>
      <c r="D25" s="202">
        <v>0</v>
      </c>
      <c r="E25" s="202">
        <v>0</v>
      </c>
      <c r="F25" s="202">
        <v>0</v>
      </c>
      <c r="G25" s="201">
        <v>0</v>
      </c>
      <c r="H25" s="197">
        <f>'Class List'!$C25</f>
        <v>10</v>
      </c>
      <c r="I25" s="194">
        <f t="shared" si="0"/>
        <v>0</v>
      </c>
      <c r="J25" s="195" t="str">
        <f t="shared" si="1"/>
        <v>Beginning</v>
      </c>
      <c r="K25" s="306"/>
      <c r="L25" s="308"/>
      <c r="M25" s="306"/>
      <c r="N25" s="306"/>
      <c r="O25" s="306"/>
      <c r="P25" s="306"/>
      <c r="Q25" s="306"/>
      <c r="R25" s="306"/>
      <c r="S25" s="307"/>
    </row>
    <row r="26" spans="1:19" ht="30" customHeight="1" x14ac:dyDescent="0.25">
      <c r="A26" s="198" t="str">
        <f>'Class List'!A26</f>
        <v>Student</v>
      </c>
      <c r="B26" s="201">
        <v>0</v>
      </c>
      <c r="C26" s="202">
        <v>0</v>
      </c>
      <c r="D26" s="202">
        <v>0</v>
      </c>
      <c r="E26" s="202">
        <v>0</v>
      </c>
      <c r="F26" s="202">
        <v>0</v>
      </c>
      <c r="G26" s="201">
        <v>0</v>
      </c>
      <c r="H26" s="197">
        <f>'Class List'!$C26</f>
        <v>10</v>
      </c>
      <c r="I26" s="194">
        <f t="shared" si="0"/>
        <v>0</v>
      </c>
      <c r="J26" s="195" t="str">
        <f t="shared" si="1"/>
        <v>Beginning</v>
      </c>
      <c r="K26" s="306"/>
      <c r="L26" s="308"/>
      <c r="M26" s="306"/>
      <c r="N26" s="306"/>
      <c r="O26" s="306"/>
      <c r="P26" s="306"/>
      <c r="Q26" s="306"/>
      <c r="R26" s="306"/>
      <c r="S26" s="307"/>
    </row>
    <row r="27" spans="1:19" ht="30" customHeight="1" x14ac:dyDescent="0.25">
      <c r="A27" s="198" t="str">
        <f>'Class List'!A27</f>
        <v>Student</v>
      </c>
      <c r="B27" s="201">
        <v>0</v>
      </c>
      <c r="C27" s="202">
        <v>0</v>
      </c>
      <c r="D27" s="202">
        <v>0</v>
      </c>
      <c r="E27" s="202">
        <v>0</v>
      </c>
      <c r="F27" s="202">
        <v>0</v>
      </c>
      <c r="G27" s="201">
        <v>0</v>
      </c>
      <c r="H27" s="197">
        <f>'Class List'!$C27</f>
        <v>9</v>
      </c>
      <c r="I27" s="194">
        <f t="shared" si="0"/>
        <v>0</v>
      </c>
      <c r="J27" s="195" t="str">
        <f t="shared" si="1"/>
        <v>Beginning</v>
      </c>
      <c r="K27" s="306"/>
      <c r="L27" s="308"/>
      <c r="M27" s="306"/>
      <c r="N27" s="306"/>
      <c r="O27" s="306"/>
      <c r="P27" s="306"/>
      <c r="Q27" s="306"/>
      <c r="R27" s="306"/>
      <c r="S27" s="307"/>
    </row>
    <row r="28" spans="1:19" ht="30" customHeight="1" x14ac:dyDescent="0.25">
      <c r="A28" s="198" t="str">
        <f>'Class List'!A28</f>
        <v>Student</v>
      </c>
      <c r="B28" s="201">
        <v>0</v>
      </c>
      <c r="C28" s="202">
        <v>0</v>
      </c>
      <c r="D28" s="202">
        <v>0</v>
      </c>
      <c r="E28" s="202">
        <v>0</v>
      </c>
      <c r="F28" s="202">
        <v>0</v>
      </c>
      <c r="G28" s="201">
        <v>0</v>
      </c>
      <c r="H28" s="197">
        <f>'Class List'!$C28</f>
        <v>9</v>
      </c>
      <c r="I28" s="194">
        <f t="shared" si="0"/>
        <v>0</v>
      </c>
      <c r="J28" s="195" t="str">
        <f t="shared" si="1"/>
        <v>Beginning</v>
      </c>
      <c r="K28" s="306"/>
      <c r="L28" s="308"/>
      <c r="M28" s="306"/>
      <c r="N28" s="306"/>
      <c r="O28" s="306"/>
      <c r="P28" s="306"/>
      <c r="Q28" s="306"/>
      <c r="R28" s="306"/>
      <c r="S28" s="307"/>
    </row>
    <row r="29" spans="1:19" ht="30" customHeight="1" x14ac:dyDescent="0.25">
      <c r="A29" s="198" t="str">
        <f>'Class List'!A29</f>
        <v>Student</v>
      </c>
      <c r="B29" s="201">
        <v>0</v>
      </c>
      <c r="C29" s="202">
        <v>0</v>
      </c>
      <c r="D29" s="202">
        <v>0</v>
      </c>
      <c r="E29" s="202">
        <v>0</v>
      </c>
      <c r="F29" s="202">
        <v>0</v>
      </c>
      <c r="G29" s="201">
        <v>0</v>
      </c>
      <c r="H29" s="197">
        <f>'Class List'!$C29</f>
        <v>9</v>
      </c>
      <c r="I29" s="194">
        <f t="shared" si="0"/>
        <v>0</v>
      </c>
      <c r="J29" s="195" t="str">
        <f t="shared" si="1"/>
        <v>Beginning</v>
      </c>
      <c r="K29" s="306"/>
      <c r="L29" s="308"/>
      <c r="M29" s="306"/>
      <c r="N29" s="306"/>
      <c r="O29" s="306"/>
      <c r="P29" s="306"/>
      <c r="Q29" s="306"/>
      <c r="R29" s="306"/>
      <c r="S29" s="307"/>
    </row>
    <row r="30" spans="1:19" ht="30" customHeight="1" x14ac:dyDescent="0.25">
      <c r="A30" s="198" t="str">
        <f>'Class List'!A30</f>
        <v>Student</v>
      </c>
      <c r="B30" s="201">
        <v>0</v>
      </c>
      <c r="C30" s="202">
        <v>0</v>
      </c>
      <c r="D30" s="202">
        <v>0</v>
      </c>
      <c r="E30" s="202">
        <v>0</v>
      </c>
      <c r="F30" s="202">
        <v>0</v>
      </c>
      <c r="G30" s="201">
        <v>0</v>
      </c>
      <c r="H30" s="197">
        <f>'Class List'!$C30</f>
        <v>9</v>
      </c>
      <c r="I30" s="194">
        <f t="shared" si="0"/>
        <v>0</v>
      </c>
      <c r="J30" s="195" t="str">
        <f t="shared" si="1"/>
        <v>Beginning</v>
      </c>
      <c r="K30" s="306"/>
      <c r="L30" s="308"/>
      <c r="M30" s="306"/>
      <c r="N30" s="306"/>
      <c r="O30" s="306"/>
      <c r="P30" s="306"/>
      <c r="Q30" s="306"/>
      <c r="R30" s="306"/>
      <c r="S30" s="307"/>
    </row>
    <row r="31" spans="1:19" ht="30" customHeight="1" x14ac:dyDescent="0.25">
      <c r="A31" s="198">
        <f>'Class List'!A31</f>
        <v>0</v>
      </c>
      <c r="B31" s="201">
        <v>0</v>
      </c>
      <c r="C31" s="202">
        <v>0</v>
      </c>
      <c r="D31" s="202">
        <v>0</v>
      </c>
      <c r="E31" s="202">
        <v>0</v>
      </c>
      <c r="F31" s="202">
        <v>0</v>
      </c>
      <c r="G31" s="201">
        <v>0</v>
      </c>
      <c r="H31" s="197">
        <f>'Class List'!$C31</f>
        <v>0</v>
      </c>
      <c r="I31" s="194">
        <f t="shared" si="0"/>
        <v>0</v>
      </c>
      <c r="J31" s="195" t="str">
        <f t="shared" si="1"/>
        <v>Age Not Found</v>
      </c>
      <c r="K31" s="306"/>
      <c r="L31" s="308"/>
      <c r="M31" s="306"/>
      <c r="N31" s="306"/>
      <c r="O31" s="306"/>
      <c r="P31" s="306"/>
      <c r="Q31" s="306"/>
      <c r="R31" s="306"/>
      <c r="S31" s="307"/>
    </row>
    <row r="32" spans="1:19" ht="30" customHeight="1" x14ac:dyDescent="0.25">
      <c r="A32" s="198">
        <f>'Class List'!A32</f>
        <v>0</v>
      </c>
      <c r="B32" s="201">
        <v>0</v>
      </c>
      <c r="C32" s="202">
        <v>0</v>
      </c>
      <c r="D32" s="202">
        <v>0</v>
      </c>
      <c r="E32" s="202">
        <v>0</v>
      </c>
      <c r="F32" s="202">
        <v>0</v>
      </c>
      <c r="G32" s="201">
        <v>0</v>
      </c>
      <c r="H32" s="197">
        <f>'Class List'!$C32</f>
        <v>0</v>
      </c>
      <c r="I32" s="194">
        <f t="shared" si="0"/>
        <v>0</v>
      </c>
      <c r="J32" s="195" t="str">
        <f t="shared" si="1"/>
        <v>Age Not Found</v>
      </c>
      <c r="K32" s="306"/>
      <c r="L32" s="308"/>
      <c r="M32" s="306"/>
      <c r="N32" s="306"/>
      <c r="O32" s="306"/>
      <c r="P32" s="306"/>
      <c r="Q32" s="306"/>
      <c r="R32" s="306"/>
      <c r="S32" s="307"/>
    </row>
    <row r="33" spans="1:19" ht="30" customHeight="1" x14ac:dyDescent="0.25">
      <c r="A33" s="198">
        <f>'Class List'!A33</f>
        <v>0</v>
      </c>
      <c r="B33" s="201">
        <v>0</v>
      </c>
      <c r="C33" s="202">
        <v>0</v>
      </c>
      <c r="D33" s="202">
        <v>0</v>
      </c>
      <c r="E33" s="202">
        <v>0</v>
      </c>
      <c r="F33" s="202">
        <v>0</v>
      </c>
      <c r="G33" s="201">
        <v>0</v>
      </c>
      <c r="H33" s="197">
        <f>'Class List'!$C33</f>
        <v>0</v>
      </c>
      <c r="I33" s="194">
        <f t="shared" si="0"/>
        <v>0</v>
      </c>
      <c r="J33" s="195" t="str">
        <f t="shared" si="1"/>
        <v>Age Not Found</v>
      </c>
      <c r="K33" s="306"/>
      <c r="L33" s="308"/>
      <c r="M33" s="306"/>
      <c r="N33" s="306"/>
      <c r="O33" s="306"/>
      <c r="P33" s="306"/>
      <c r="Q33" s="306"/>
      <c r="R33" s="306"/>
      <c r="S33" s="307"/>
    </row>
    <row r="34" spans="1:19" ht="30" customHeight="1" thickBot="1" x14ac:dyDescent="0.3">
      <c r="A34" s="198">
        <f>'Class List'!A34</f>
        <v>0</v>
      </c>
      <c r="B34" s="203">
        <v>0</v>
      </c>
      <c r="C34" s="204">
        <v>0</v>
      </c>
      <c r="D34" s="204">
        <v>0</v>
      </c>
      <c r="E34" s="204">
        <v>0</v>
      </c>
      <c r="F34" s="204">
        <v>0</v>
      </c>
      <c r="G34" s="203">
        <v>0</v>
      </c>
      <c r="H34" s="197">
        <f>'Class List'!$C34</f>
        <v>0</v>
      </c>
      <c r="I34" s="194">
        <f t="shared" si="0"/>
        <v>0</v>
      </c>
      <c r="J34" s="195" t="str">
        <f t="shared" si="1"/>
        <v>Age Not Found</v>
      </c>
      <c r="K34" s="306"/>
      <c r="L34" s="308"/>
      <c r="M34" s="306"/>
      <c r="N34" s="306"/>
      <c r="O34" s="306"/>
      <c r="P34" s="306"/>
      <c r="Q34" s="306"/>
      <c r="R34" s="306"/>
      <c r="S34" s="307"/>
    </row>
    <row r="35" spans="1:19" ht="14.1" customHeight="1" thickTop="1" thickBot="1" x14ac:dyDescent="0.3">
      <c r="A35" s="191" t="s">
        <v>34</v>
      </c>
      <c r="B35" s="192">
        <f t="shared" ref="B35:G35" si="2">SUM(B5:B34)</f>
        <v>1</v>
      </c>
      <c r="C35" s="192">
        <f t="shared" si="2"/>
        <v>1</v>
      </c>
      <c r="D35" s="192">
        <f t="shared" si="2"/>
        <v>2</v>
      </c>
      <c r="E35" s="192">
        <f t="shared" si="2"/>
        <v>1</v>
      </c>
      <c r="F35" s="192">
        <f t="shared" si="2"/>
        <v>1</v>
      </c>
      <c r="G35" s="192">
        <f t="shared" si="2"/>
        <v>1</v>
      </c>
      <c r="H35" s="192"/>
      <c r="I35" s="192"/>
      <c r="J35" s="193"/>
      <c r="K35" s="306"/>
      <c r="L35" s="308"/>
      <c r="M35" s="306"/>
      <c r="N35" s="306"/>
      <c r="O35" s="306"/>
      <c r="P35" s="306"/>
      <c r="Q35" s="306"/>
      <c r="R35" s="306"/>
      <c r="S35" s="307"/>
    </row>
    <row r="36" spans="1:19" ht="16.05" customHeight="1" thickTop="1" x14ac:dyDescent="0.3">
      <c r="A36" s="327" t="s">
        <v>35</v>
      </c>
      <c r="B36" s="328"/>
      <c r="C36" s="328"/>
      <c r="D36" s="328"/>
      <c r="E36" s="329"/>
      <c r="I36" s="340"/>
      <c r="J36" s="306"/>
      <c r="K36" s="306"/>
      <c r="L36" s="308"/>
      <c r="M36" s="306"/>
      <c r="N36" s="306"/>
      <c r="O36" s="306"/>
      <c r="P36" s="306"/>
      <c r="Q36" s="306"/>
      <c r="R36" s="306"/>
      <c r="S36" s="307"/>
    </row>
    <row r="37" spans="1:19" ht="13.05" customHeight="1" x14ac:dyDescent="0.25">
      <c r="A37" s="324"/>
      <c r="B37" s="325"/>
      <c r="C37" s="325"/>
      <c r="D37" s="325"/>
      <c r="E37" s="326"/>
      <c r="I37" s="306"/>
      <c r="J37" s="306"/>
      <c r="K37" s="306"/>
      <c r="L37" s="308"/>
      <c r="M37" s="306"/>
      <c r="N37" s="306"/>
      <c r="O37" s="306"/>
      <c r="P37" s="306"/>
      <c r="Q37" s="306"/>
      <c r="R37" s="306"/>
      <c r="S37" s="307"/>
    </row>
    <row r="38" spans="1:19" ht="13.05" customHeight="1" x14ac:dyDescent="0.25">
      <c r="A38" s="5" t="s">
        <v>5</v>
      </c>
      <c r="B38" s="6" t="s">
        <v>37</v>
      </c>
      <c r="C38" s="6" t="s">
        <v>38</v>
      </c>
      <c r="D38" s="6" t="s">
        <v>39</v>
      </c>
      <c r="E38" s="7" t="s">
        <v>40</v>
      </c>
      <c r="I38" s="8" t="s">
        <v>41</v>
      </c>
      <c r="J38" s="9"/>
      <c r="K38" s="306"/>
      <c r="L38" s="308"/>
      <c r="M38" s="306"/>
      <c r="N38" s="306"/>
      <c r="O38" s="306"/>
      <c r="P38" s="306"/>
      <c r="Q38" s="306"/>
      <c r="R38" s="306"/>
      <c r="S38" s="307"/>
    </row>
    <row r="39" spans="1:19" ht="12.6" customHeight="1" x14ac:dyDescent="0.25">
      <c r="A39" s="32">
        <v>5</v>
      </c>
      <c r="B39" s="10">
        <v>0</v>
      </c>
      <c r="C39" s="10">
        <v>0</v>
      </c>
      <c r="D39" s="10">
        <v>1</v>
      </c>
      <c r="E39" s="11">
        <v>2</v>
      </c>
      <c r="I39" s="12" t="s">
        <v>42</v>
      </c>
      <c r="J39" s="13">
        <f>COUNTIF(J$5:J$34, "Beginning")</f>
        <v>25</v>
      </c>
      <c r="K39" s="306"/>
      <c r="L39" s="308"/>
      <c r="M39" s="306"/>
      <c r="N39" s="306"/>
      <c r="O39" s="306"/>
      <c r="P39" s="306"/>
      <c r="Q39" s="306"/>
      <c r="R39" s="306"/>
      <c r="S39" s="307"/>
    </row>
    <row r="40" spans="1:19" ht="12.6" customHeight="1" x14ac:dyDescent="0.25">
      <c r="A40" s="32">
        <v>6</v>
      </c>
      <c r="B40" s="10">
        <v>0</v>
      </c>
      <c r="C40" s="10">
        <v>0</v>
      </c>
      <c r="D40" s="10">
        <v>1</v>
      </c>
      <c r="E40" s="11">
        <v>2</v>
      </c>
      <c r="I40" s="12" t="s">
        <v>38</v>
      </c>
      <c r="J40" s="13">
        <f>COUNTIF(J$5:J$34, "Progressing")</f>
        <v>0</v>
      </c>
      <c r="K40" s="306"/>
      <c r="L40" s="308"/>
      <c r="M40" s="306"/>
      <c r="N40" s="306"/>
      <c r="O40" s="306"/>
      <c r="P40" s="306"/>
      <c r="Q40" s="306"/>
      <c r="R40" s="306"/>
      <c r="S40" s="307"/>
    </row>
    <row r="41" spans="1:19" ht="12.6" customHeight="1" x14ac:dyDescent="0.25">
      <c r="A41" s="32">
        <v>7</v>
      </c>
      <c r="B41" s="10">
        <v>1</v>
      </c>
      <c r="C41" s="10">
        <v>2</v>
      </c>
      <c r="D41" s="10">
        <v>3</v>
      </c>
      <c r="E41" s="11">
        <v>4</v>
      </c>
      <c r="I41" s="12" t="s">
        <v>43</v>
      </c>
      <c r="J41" s="13">
        <f>COUNTIF(J$5:J$34, "Achieving")</f>
        <v>1</v>
      </c>
      <c r="K41" s="306"/>
      <c r="L41" s="308"/>
      <c r="M41" s="306"/>
      <c r="N41" s="306"/>
      <c r="O41" s="306"/>
      <c r="P41" s="306"/>
      <c r="Q41" s="306"/>
      <c r="R41" s="306"/>
      <c r="S41" s="307"/>
    </row>
    <row r="42" spans="1:19" ht="12.6" customHeight="1" x14ac:dyDescent="0.25">
      <c r="A42" s="32">
        <v>8</v>
      </c>
      <c r="B42" s="10">
        <v>3</v>
      </c>
      <c r="C42" s="10">
        <v>4</v>
      </c>
      <c r="D42" s="10">
        <v>5</v>
      </c>
      <c r="E42" s="11">
        <v>6</v>
      </c>
      <c r="I42" s="12" t="s">
        <v>40</v>
      </c>
      <c r="J42" s="13">
        <f>COUNTIF(J$5:J$34, "Excelling")</f>
        <v>0</v>
      </c>
      <c r="K42" s="306"/>
      <c r="L42" s="308"/>
      <c r="M42" s="306"/>
      <c r="N42" s="306"/>
      <c r="O42" s="306"/>
      <c r="P42" s="306"/>
      <c r="Q42" s="306"/>
      <c r="R42" s="306"/>
      <c r="S42" s="307"/>
    </row>
    <row r="43" spans="1:19" ht="12.6" customHeight="1" x14ac:dyDescent="0.25">
      <c r="A43" s="33">
        <v>9</v>
      </c>
      <c r="B43" s="10">
        <v>4</v>
      </c>
      <c r="C43" s="10">
        <v>5</v>
      </c>
      <c r="D43" s="10">
        <v>6</v>
      </c>
      <c r="E43" s="11">
        <v>7</v>
      </c>
      <c r="I43" s="306"/>
      <c r="J43" s="306"/>
      <c r="K43" s="306"/>
      <c r="L43" s="308"/>
      <c r="M43" s="306"/>
      <c r="N43" s="306"/>
      <c r="O43" s="306"/>
      <c r="P43" s="306"/>
      <c r="Q43" s="306"/>
      <c r="R43" s="306"/>
      <c r="S43" s="307"/>
    </row>
    <row r="44" spans="1:19" ht="13.05" customHeight="1" thickBot="1" x14ac:dyDescent="0.3">
      <c r="A44" s="32">
        <v>10</v>
      </c>
      <c r="B44" s="10">
        <v>4</v>
      </c>
      <c r="C44" s="10">
        <v>5</v>
      </c>
      <c r="D44" s="10">
        <v>6</v>
      </c>
      <c r="E44" s="11">
        <v>7</v>
      </c>
      <c r="I44" s="306"/>
      <c r="J44" s="306"/>
      <c r="K44" s="306"/>
      <c r="L44" s="309"/>
      <c r="M44" s="310"/>
      <c r="N44" s="310"/>
      <c r="O44" s="310"/>
      <c r="P44" s="310"/>
      <c r="Q44" s="310"/>
      <c r="R44" s="310"/>
      <c r="S44" s="311"/>
    </row>
    <row r="45" spans="1:19" ht="13.05" customHeight="1" thickTop="1" x14ac:dyDescent="0.25">
      <c r="A45" s="32">
        <v>11</v>
      </c>
      <c r="B45" s="10">
        <v>4</v>
      </c>
      <c r="C45" s="10">
        <v>5</v>
      </c>
      <c r="D45" s="10">
        <v>6</v>
      </c>
      <c r="E45" s="11">
        <v>7</v>
      </c>
      <c r="I45" s="306"/>
      <c r="J45" s="306"/>
      <c r="K45" s="306"/>
      <c r="L45" s="306"/>
      <c r="M45" s="306"/>
      <c r="N45" s="306"/>
      <c r="O45" s="306"/>
      <c r="P45" s="306"/>
      <c r="Q45" s="306"/>
      <c r="R45" s="306"/>
      <c r="S45" s="306"/>
    </row>
    <row r="46" spans="1:19" ht="13.05" customHeight="1" thickBot="1" x14ac:dyDescent="0.3">
      <c r="A46" s="34">
        <v>12</v>
      </c>
      <c r="B46" s="14">
        <v>4</v>
      </c>
      <c r="C46" s="14">
        <v>5</v>
      </c>
      <c r="D46" s="14">
        <v>6</v>
      </c>
      <c r="E46" s="15">
        <v>7</v>
      </c>
      <c r="I46" s="306"/>
      <c r="J46" s="306"/>
      <c r="K46" s="306"/>
      <c r="L46" s="306"/>
      <c r="M46" s="306"/>
      <c r="N46" s="306"/>
      <c r="O46" s="306"/>
      <c r="P46" s="306"/>
      <c r="Q46" s="306"/>
      <c r="R46" s="306"/>
      <c r="S46" s="306"/>
    </row>
    <row r="47" spans="1:19" ht="15.75" customHeight="1" thickTop="1" x14ac:dyDescent="0.25"/>
    <row r="48" spans="1:19"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4">
    <mergeCell ref="A1:J1"/>
    <mergeCell ref="K1:K46"/>
    <mergeCell ref="L1:S1"/>
    <mergeCell ref="L2:O2"/>
    <mergeCell ref="P2:S2"/>
    <mergeCell ref="I36:J37"/>
    <mergeCell ref="I43:J46"/>
    <mergeCell ref="A36:E36"/>
    <mergeCell ref="A37:E37"/>
    <mergeCell ref="G2:J2"/>
    <mergeCell ref="C2:F2"/>
    <mergeCell ref="A2:B2"/>
    <mergeCell ref="L3:S44"/>
    <mergeCell ref="L45:S46"/>
  </mergeCells>
  <conditionalFormatting sqref="J5:J34">
    <cfRule type="containsText" dxfId="144" priority="1" operator="containsText" text="Error">
      <formula>NOT(ISERROR(SEARCH("Error",J5)))</formula>
    </cfRule>
    <cfRule type="containsText" dxfId="143" priority="2" operator="containsText" text="Age Not Found">
      <formula>NOT(ISERROR(SEARCH("Age Not Found",J5)))</formula>
    </cfRule>
    <cfRule type="containsText" dxfId="142" priority="3" operator="containsText" text="Beginning">
      <formula>NOT(ISERROR(SEARCH("Beginning",J5)))</formula>
    </cfRule>
    <cfRule type="containsText" dxfId="141" priority="4" operator="containsText" text="Progressing">
      <formula>NOT(ISERROR(SEARCH("Progressing",J5)))</formula>
    </cfRule>
    <cfRule type="containsText" dxfId="140" priority="5" operator="containsText" text="Achieving">
      <formula>NOT(ISERROR(SEARCH("Achieving",J5)))</formula>
    </cfRule>
    <cfRule type="containsText" dxfId="139" priority="6" operator="containsText" text="Excelling">
      <formula>NOT(ISERROR(SEARCH("Excelling",J5)))</formula>
    </cfRule>
  </conditionalFormatting>
  <dataValidations count="2">
    <dataValidation type="list" allowBlank="1" showInputMessage="1" showErrorMessage="1" sqref="J5:J34" xr:uid="{00000000-0002-0000-0500-000000000000}">
      <formula1>$A$48:$A$52</formula1>
    </dataValidation>
    <dataValidation type="list" allowBlank="1" showInputMessage="1" showErrorMessage="1" sqref="B5:G34" xr:uid="{F3FF306A-604B-4748-A3D9-8AACA3799E48}">
      <formula1>"1, 0"</formula1>
    </dataValidation>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9"/>
    <outlinePr summaryBelow="0" summaryRight="0"/>
  </sheetPr>
  <dimension ref="A1:T52"/>
  <sheetViews>
    <sheetView showGridLines="0" zoomScale="55" zoomScaleNormal="55" workbookViewId="0">
      <pane xSplit="1" ySplit="3" topLeftCell="B21" activePane="bottomRight" state="frozen"/>
      <selection activeCell="J5" sqref="J5:J34"/>
      <selection pane="topRight" activeCell="J5" sqref="J5:J34"/>
      <selection pane="bottomLeft" activeCell="J5" sqref="J5:J34"/>
      <selection pane="bottomRight" activeCell="A5" sqref="A5:K34"/>
    </sheetView>
  </sheetViews>
  <sheetFormatPr defaultColWidth="12.5546875" defaultRowHeight="15.75" customHeight="1" x14ac:dyDescent="0.25"/>
  <cols>
    <col min="1" max="1" width="27" customWidth="1"/>
    <col min="2" max="2" width="27.33203125" customWidth="1"/>
    <col min="3" max="8" width="27.21875" customWidth="1"/>
    <col min="9" max="9" width="14.21875" customWidth="1"/>
    <col min="11" max="11" width="14.5546875" customWidth="1"/>
    <col min="20" max="20" width="26.77734375" customWidth="1"/>
  </cols>
  <sheetData>
    <row r="1" spans="1:20" ht="30.6" customHeight="1" thickTop="1" thickBot="1" x14ac:dyDescent="0.8">
      <c r="A1" s="312" t="s">
        <v>12</v>
      </c>
      <c r="B1" s="313"/>
      <c r="C1" s="313"/>
      <c r="D1" s="313"/>
      <c r="E1" s="313"/>
      <c r="F1" s="313"/>
      <c r="G1" s="313"/>
      <c r="H1" s="313"/>
      <c r="I1" s="313"/>
      <c r="J1" s="313"/>
      <c r="K1" s="314"/>
      <c r="L1" s="306"/>
      <c r="M1" s="315" t="s">
        <v>20</v>
      </c>
      <c r="N1" s="316"/>
      <c r="O1" s="316"/>
      <c r="P1" s="316"/>
      <c r="Q1" s="316"/>
      <c r="R1" s="316"/>
      <c r="S1" s="316"/>
      <c r="T1" s="317"/>
    </row>
    <row r="2" spans="1:20" ht="51.6" customHeight="1" thickTop="1" thickBot="1" x14ac:dyDescent="0.55000000000000004">
      <c r="A2" s="356" t="s">
        <v>91</v>
      </c>
      <c r="B2" s="357"/>
      <c r="C2" s="363" t="s">
        <v>92</v>
      </c>
      <c r="D2" s="349"/>
      <c r="E2" s="349"/>
      <c r="F2" s="364"/>
      <c r="G2" s="362" t="s">
        <v>93</v>
      </c>
      <c r="H2" s="359"/>
      <c r="I2" s="359"/>
      <c r="J2" s="359"/>
      <c r="K2" s="360"/>
      <c r="L2" s="306"/>
      <c r="M2" s="318" t="s">
        <v>24</v>
      </c>
      <c r="N2" s="319"/>
      <c r="O2" s="319"/>
      <c r="P2" s="320"/>
      <c r="Q2" s="321"/>
      <c r="R2" s="322"/>
      <c r="S2" s="322"/>
      <c r="T2" s="323"/>
    </row>
    <row r="3" spans="1:20" ht="52.5" customHeight="1" thickTop="1" x14ac:dyDescent="0.25">
      <c r="A3" s="207" t="s">
        <v>25</v>
      </c>
      <c r="B3" s="26" t="s">
        <v>94</v>
      </c>
      <c r="C3" s="36" t="s">
        <v>95</v>
      </c>
      <c r="D3" s="20" t="s">
        <v>96</v>
      </c>
      <c r="E3" s="19" t="s">
        <v>97</v>
      </c>
      <c r="F3" s="19" t="s">
        <v>98</v>
      </c>
      <c r="G3" s="19" t="s">
        <v>99</v>
      </c>
      <c r="H3" s="20" t="s">
        <v>100</v>
      </c>
      <c r="I3" s="66" t="s">
        <v>5</v>
      </c>
      <c r="J3" s="3" t="s">
        <v>101</v>
      </c>
      <c r="K3" s="4" t="s">
        <v>32</v>
      </c>
      <c r="L3" s="306"/>
      <c r="M3" s="305"/>
      <c r="N3" s="306"/>
      <c r="O3" s="306"/>
      <c r="P3" s="306"/>
      <c r="Q3" s="306"/>
      <c r="R3" s="306"/>
      <c r="S3" s="306"/>
      <c r="T3" s="307"/>
    </row>
    <row r="4" spans="1:20" ht="13.05" customHeight="1" thickTop="1" x14ac:dyDescent="0.25">
      <c r="A4" s="189" t="s">
        <v>33</v>
      </c>
      <c r="B4" s="27">
        <v>5</v>
      </c>
      <c r="C4" s="28">
        <v>6</v>
      </c>
      <c r="D4" s="29">
        <v>7</v>
      </c>
      <c r="E4" s="30">
        <v>8</v>
      </c>
      <c r="F4" s="30">
        <v>8</v>
      </c>
      <c r="G4" s="30">
        <v>8</v>
      </c>
      <c r="H4" s="29">
        <v>7</v>
      </c>
      <c r="I4" s="2"/>
      <c r="J4" s="22"/>
      <c r="K4" s="23"/>
      <c r="L4" s="306"/>
      <c r="M4" s="308"/>
      <c r="N4" s="306"/>
      <c r="O4" s="306"/>
      <c r="P4" s="306"/>
      <c r="Q4" s="306"/>
      <c r="R4" s="306"/>
      <c r="S4" s="306"/>
      <c r="T4" s="307"/>
    </row>
    <row r="5" spans="1:20" ht="30" customHeight="1" x14ac:dyDescent="0.25">
      <c r="A5" s="198" t="str">
        <f>'Class List'!A5</f>
        <v>Student</v>
      </c>
      <c r="B5" s="199">
        <v>0</v>
      </c>
      <c r="C5" s="200">
        <v>0</v>
      </c>
      <c r="D5" s="200">
        <v>0</v>
      </c>
      <c r="E5" s="200">
        <v>1</v>
      </c>
      <c r="F5" s="200">
        <v>1</v>
      </c>
      <c r="G5" s="199">
        <v>1</v>
      </c>
      <c r="H5" s="199">
        <v>1</v>
      </c>
      <c r="I5" s="197">
        <f>'Class List'!$C5</f>
        <v>9</v>
      </c>
      <c r="J5" s="194">
        <f t="shared" ref="J5:J34" si="0">SUM(B5:H5)</f>
        <v>4</v>
      </c>
      <c r="K5" s="195" t="str">
        <f t="shared" ref="K5:K34" si="1">IFERROR(
   IF(J5 &lt;= INDEX($B$36:$B$46, MATCH(I5, $A$36:$A$46, 0)), "Beginning",
      IF(J5 &lt;= INDEX($C$36:$C$46, MATCH(I5, $A$36:$A$46, 0)), "Progressing",
         IF(J5 &lt;= INDEX($D$36:$D$46, MATCH(I5, $A$36:$A$46, 0)), "Achieving",
            IF(J5 &gt;= INDEX($E$36:$E$46, MATCH(I5, $A$36:$A$46, 0)), "Excelling", "Error")))),
   "Age Not Found")</f>
        <v>Beginning</v>
      </c>
      <c r="L5" s="306"/>
      <c r="M5" s="308"/>
      <c r="N5" s="306"/>
      <c r="O5" s="306"/>
      <c r="P5" s="306"/>
      <c r="Q5" s="306"/>
      <c r="R5" s="306"/>
      <c r="S5" s="306"/>
      <c r="T5" s="307"/>
    </row>
    <row r="6" spans="1:20" ht="30" customHeight="1" x14ac:dyDescent="0.25">
      <c r="A6" s="198" t="str">
        <f>'Class List'!A6</f>
        <v>Student</v>
      </c>
      <c r="B6" s="201">
        <v>0</v>
      </c>
      <c r="C6" s="202">
        <v>0</v>
      </c>
      <c r="D6" s="202">
        <v>0</v>
      </c>
      <c r="E6" s="202">
        <v>0</v>
      </c>
      <c r="F6" s="202">
        <v>0</v>
      </c>
      <c r="G6" s="201">
        <v>0</v>
      </c>
      <c r="H6" s="201">
        <v>1</v>
      </c>
      <c r="I6" s="197">
        <f>'Class List'!$C6</f>
        <v>10</v>
      </c>
      <c r="J6" s="194">
        <f t="shared" si="0"/>
        <v>1</v>
      </c>
      <c r="K6" s="195" t="str">
        <f t="shared" si="1"/>
        <v>Beginning</v>
      </c>
      <c r="L6" s="306"/>
      <c r="M6" s="308"/>
      <c r="N6" s="306"/>
      <c r="O6" s="306"/>
      <c r="P6" s="306"/>
      <c r="Q6" s="306"/>
      <c r="R6" s="306"/>
      <c r="S6" s="306"/>
      <c r="T6" s="307"/>
    </row>
    <row r="7" spans="1:20" ht="30" customHeight="1" x14ac:dyDescent="0.25">
      <c r="A7" s="198" t="str">
        <f>'Class List'!A7</f>
        <v>Student</v>
      </c>
      <c r="B7" s="201">
        <v>0</v>
      </c>
      <c r="C7" s="202">
        <v>0</v>
      </c>
      <c r="D7" s="202">
        <v>0</v>
      </c>
      <c r="E7" s="202">
        <v>0</v>
      </c>
      <c r="F7" s="202">
        <v>0</v>
      </c>
      <c r="G7" s="201">
        <v>0</v>
      </c>
      <c r="H7" s="201">
        <v>1</v>
      </c>
      <c r="I7" s="197">
        <f>'Class List'!$C7</f>
        <v>9</v>
      </c>
      <c r="J7" s="194">
        <f t="shared" si="0"/>
        <v>1</v>
      </c>
      <c r="K7" s="195" t="str">
        <f t="shared" si="1"/>
        <v>Beginning</v>
      </c>
      <c r="L7" s="306"/>
      <c r="M7" s="308"/>
      <c r="N7" s="306"/>
      <c r="O7" s="306"/>
      <c r="P7" s="306"/>
      <c r="Q7" s="306"/>
      <c r="R7" s="306"/>
      <c r="S7" s="306"/>
      <c r="T7" s="307"/>
    </row>
    <row r="8" spans="1:20" ht="30" customHeight="1" x14ac:dyDescent="0.25">
      <c r="A8" s="198" t="str">
        <f>'Class List'!A8</f>
        <v>Student</v>
      </c>
      <c r="B8" s="201">
        <v>0</v>
      </c>
      <c r="C8" s="202">
        <v>0</v>
      </c>
      <c r="D8" s="202">
        <v>0</v>
      </c>
      <c r="E8" s="202">
        <v>0</v>
      </c>
      <c r="F8" s="202">
        <v>0</v>
      </c>
      <c r="G8" s="201">
        <v>0</v>
      </c>
      <c r="H8" s="201">
        <v>1</v>
      </c>
      <c r="I8" s="197">
        <f>'Class List'!$C8</f>
        <v>10</v>
      </c>
      <c r="J8" s="194">
        <f t="shared" si="0"/>
        <v>1</v>
      </c>
      <c r="K8" s="195" t="str">
        <f t="shared" si="1"/>
        <v>Beginning</v>
      </c>
      <c r="L8" s="306"/>
      <c r="M8" s="308"/>
      <c r="N8" s="306"/>
      <c r="O8" s="306"/>
      <c r="P8" s="306"/>
      <c r="Q8" s="306"/>
      <c r="R8" s="306"/>
      <c r="S8" s="306"/>
      <c r="T8" s="307"/>
    </row>
    <row r="9" spans="1:20" ht="30" customHeight="1" x14ac:dyDescent="0.25">
      <c r="A9" s="198" t="str">
        <f>'Class List'!A9</f>
        <v>Student</v>
      </c>
      <c r="B9" s="201">
        <v>0</v>
      </c>
      <c r="C9" s="202">
        <v>0</v>
      </c>
      <c r="D9" s="202">
        <v>0</v>
      </c>
      <c r="E9" s="202">
        <v>0</v>
      </c>
      <c r="F9" s="202">
        <v>0</v>
      </c>
      <c r="G9" s="201">
        <v>0</v>
      </c>
      <c r="H9" s="201">
        <v>1</v>
      </c>
      <c r="I9" s="197">
        <f>'Class List'!$C9</f>
        <v>10</v>
      </c>
      <c r="J9" s="194">
        <f t="shared" si="0"/>
        <v>1</v>
      </c>
      <c r="K9" s="195" t="str">
        <f t="shared" si="1"/>
        <v>Beginning</v>
      </c>
      <c r="L9" s="306"/>
      <c r="M9" s="308"/>
      <c r="N9" s="306"/>
      <c r="O9" s="306"/>
      <c r="P9" s="306"/>
      <c r="Q9" s="306"/>
      <c r="R9" s="306"/>
      <c r="S9" s="306"/>
      <c r="T9" s="307"/>
    </row>
    <row r="10" spans="1:20" ht="30" customHeight="1" x14ac:dyDescent="0.25">
      <c r="A10" s="198" t="str">
        <f>'Class List'!A10</f>
        <v>Student</v>
      </c>
      <c r="B10" s="201">
        <v>0</v>
      </c>
      <c r="C10" s="202">
        <v>0</v>
      </c>
      <c r="D10" s="202">
        <v>0</v>
      </c>
      <c r="E10" s="202">
        <v>0</v>
      </c>
      <c r="F10" s="202">
        <v>0</v>
      </c>
      <c r="G10" s="201">
        <v>0</v>
      </c>
      <c r="H10" s="201">
        <v>1</v>
      </c>
      <c r="I10" s="197">
        <f>'Class List'!$C10</f>
        <v>10</v>
      </c>
      <c r="J10" s="194">
        <f t="shared" si="0"/>
        <v>1</v>
      </c>
      <c r="K10" s="195" t="str">
        <f t="shared" si="1"/>
        <v>Beginning</v>
      </c>
      <c r="L10" s="306"/>
      <c r="M10" s="308"/>
      <c r="N10" s="306"/>
      <c r="O10" s="306"/>
      <c r="P10" s="306"/>
      <c r="Q10" s="306"/>
      <c r="R10" s="306"/>
      <c r="S10" s="306"/>
      <c r="T10" s="307"/>
    </row>
    <row r="11" spans="1:20" ht="30" customHeight="1" x14ac:dyDescent="0.25">
      <c r="A11" s="198" t="str">
        <f>'Class List'!A11</f>
        <v>Student</v>
      </c>
      <c r="B11" s="201">
        <v>0</v>
      </c>
      <c r="C11" s="202">
        <v>0</v>
      </c>
      <c r="D11" s="202">
        <v>0</v>
      </c>
      <c r="E11" s="202">
        <v>0</v>
      </c>
      <c r="F11" s="202">
        <v>0</v>
      </c>
      <c r="G11" s="201">
        <v>0</v>
      </c>
      <c r="H11" s="201">
        <v>1</v>
      </c>
      <c r="I11" s="197">
        <f>'Class List'!$C11</f>
        <v>9</v>
      </c>
      <c r="J11" s="194">
        <f t="shared" si="0"/>
        <v>1</v>
      </c>
      <c r="K11" s="195" t="str">
        <f t="shared" si="1"/>
        <v>Beginning</v>
      </c>
      <c r="L11" s="306"/>
      <c r="M11" s="308"/>
      <c r="N11" s="306"/>
      <c r="O11" s="306"/>
      <c r="P11" s="306"/>
      <c r="Q11" s="306"/>
      <c r="R11" s="306"/>
      <c r="S11" s="306"/>
      <c r="T11" s="307"/>
    </row>
    <row r="12" spans="1:20" ht="30" customHeight="1" x14ac:dyDescent="0.25">
      <c r="A12" s="198" t="str">
        <f>'Class List'!A12</f>
        <v>Student</v>
      </c>
      <c r="B12" s="201">
        <v>0</v>
      </c>
      <c r="C12" s="202">
        <v>0</v>
      </c>
      <c r="D12" s="202">
        <v>0</v>
      </c>
      <c r="E12" s="202">
        <v>0</v>
      </c>
      <c r="F12" s="202">
        <v>0</v>
      </c>
      <c r="G12" s="201">
        <v>0</v>
      </c>
      <c r="H12" s="201">
        <v>1</v>
      </c>
      <c r="I12" s="197">
        <f>'Class List'!$C12</f>
        <v>9</v>
      </c>
      <c r="J12" s="194">
        <f t="shared" si="0"/>
        <v>1</v>
      </c>
      <c r="K12" s="195" t="str">
        <f t="shared" si="1"/>
        <v>Beginning</v>
      </c>
      <c r="L12" s="306"/>
      <c r="M12" s="308"/>
      <c r="N12" s="306"/>
      <c r="O12" s="306"/>
      <c r="P12" s="306"/>
      <c r="Q12" s="306"/>
      <c r="R12" s="306"/>
      <c r="S12" s="306"/>
      <c r="T12" s="307"/>
    </row>
    <row r="13" spans="1:20" ht="30" customHeight="1" x14ac:dyDescent="0.25">
      <c r="A13" s="198" t="str">
        <f>'Class List'!A13</f>
        <v>Student</v>
      </c>
      <c r="B13" s="201">
        <v>0</v>
      </c>
      <c r="C13" s="202">
        <v>0</v>
      </c>
      <c r="D13" s="202">
        <v>0</v>
      </c>
      <c r="E13" s="202">
        <v>0</v>
      </c>
      <c r="F13" s="202">
        <v>0</v>
      </c>
      <c r="G13" s="201">
        <v>0</v>
      </c>
      <c r="H13" s="201">
        <v>1</v>
      </c>
      <c r="I13" s="197">
        <f>'Class List'!$C13</f>
        <v>9</v>
      </c>
      <c r="J13" s="194">
        <f t="shared" si="0"/>
        <v>1</v>
      </c>
      <c r="K13" s="195" t="str">
        <f t="shared" si="1"/>
        <v>Beginning</v>
      </c>
      <c r="L13" s="306"/>
      <c r="M13" s="308"/>
      <c r="N13" s="306"/>
      <c r="O13" s="306"/>
      <c r="P13" s="306"/>
      <c r="Q13" s="306"/>
      <c r="R13" s="306"/>
      <c r="S13" s="306"/>
      <c r="T13" s="307"/>
    </row>
    <row r="14" spans="1:20" ht="30" customHeight="1" x14ac:dyDescent="0.25">
      <c r="A14" s="198" t="str">
        <f>'Class List'!A14</f>
        <v>Student</v>
      </c>
      <c r="B14" s="201">
        <v>0</v>
      </c>
      <c r="C14" s="202">
        <v>0</v>
      </c>
      <c r="D14" s="202">
        <v>0</v>
      </c>
      <c r="E14" s="202">
        <v>0</v>
      </c>
      <c r="F14" s="202">
        <v>0</v>
      </c>
      <c r="G14" s="201">
        <v>0</v>
      </c>
      <c r="H14" s="201">
        <v>1</v>
      </c>
      <c r="I14" s="197">
        <f>'Class List'!$C14</f>
        <v>9</v>
      </c>
      <c r="J14" s="194">
        <f t="shared" si="0"/>
        <v>1</v>
      </c>
      <c r="K14" s="195" t="str">
        <f t="shared" si="1"/>
        <v>Beginning</v>
      </c>
      <c r="L14" s="306"/>
      <c r="M14" s="308"/>
      <c r="N14" s="306"/>
      <c r="O14" s="306"/>
      <c r="P14" s="306"/>
      <c r="Q14" s="306"/>
      <c r="R14" s="306"/>
      <c r="S14" s="306"/>
      <c r="T14" s="307"/>
    </row>
    <row r="15" spans="1:20" ht="30" customHeight="1" x14ac:dyDescent="0.25">
      <c r="A15" s="198" t="str">
        <f>'Class List'!A15</f>
        <v>Student</v>
      </c>
      <c r="B15" s="201">
        <v>0</v>
      </c>
      <c r="C15" s="202">
        <v>0</v>
      </c>
      <c r="D15" s="202">
        <v>0</v>
      </c>
      <c r="E15" s="202">
        <v>0</v>
      </c>
      <c r="F15" s="202">
        <v>0</v>
      </c>
      <c r="G15" s="201">
        <v>0</v>
      </c>
      <c r="H15" s="201">
        <v>1</v>
      </c>
      <c r="I15" s="197">
        <f>'Class List'!$C15</f>
        <v>10</v>
      </c>
      <c r="J15" s="194">
        <f t="shared" si="0"/>
        <v>1</v>
      </c>
      <c r="K15" s="195" t="str">
        <f t="shared" si="1"/>
        <v>Beginning</v>
      </c>
      <c r="L15" s="306"/>
      <c r="M15" s="308"/>
      <c r="N15" s="306"/>
      <c r="O15" s="306"/>
      <c r="P15" s="306"/>
      <c r="Q15" s="306"/>
      <c r="R15" s="306"/>
      <c r="S15" s="306"/>
      <c r="T15" s="307"/>
    </row>
    <row r="16" spans="1:20" ht="30" customHeight="1" x14ac:dyDescent="0.25">
      <c r="A16" s="198" t="str">
        <f>'Class List'!A16</f>
        <v>Student</v>
      </c>
      <c r="B16" s="201">
        <v>0</v>
      </c>
      <c r="C16" s="202">
        <v>0</v>
      </c>
      <c r="D16" s="202">
        <v>0</v>
      </c>
      <c r="E16" s="202">
        <v>0</v>
      </c>
      <c r="F16" s="202">
        <v>0</v>
      </c>
      <c r="G16" s="201">
        <v>0</v>
      </c>
      <c r="H16" s="201">
        <v>1</v>
      </c>
      <c r="I16" s="197">
        <f>'Class List'!$C16</f>
        <v>9</v>
      </c>
      <c r="J16" s="194">
        <f t="shared" si="0"/>
        <v>1</v>
      </c>
      <c r="K16" s="195" t="str">
        <f t="shared" si="1"/>
        <v>Beginning</v>
      </c>
      <c r="L16" s="306"/>
      <c r="M16" s="308"/>
      <c r="N16" s="306"/>
      <c r="O16" s="306"/>
      <c r="P16" s="306"/>
      <c r="Q16" s="306"/>
      <c r="R16" s="306"/>
      <c r="S16" s="306"/>
      <c r="T16" s="307"/>
    </row>
    <row r="17" spans="1:20" ht="30" customHeight="1" x14ac:dyDescent="0.25">
      <c r="A17" s="198" t="str">
        <f>'Class List'!A17</f>
        <v>Student</v>
      </c>
      <c r="B17" s="201">
        <v>0</v>
      </c>
      <c r="C17" s="202">
        <v>0</v>
      </c>
      <c r="D17" s="202">
        <v>0</v>
      </c>
      <c r="E17" s="202">
        <v>0</v>
      </c>
      <c r="F17" s="202">
        <v>0</v>
      </c>
      <c r="G17" s="201">
        <v>0</v>
      </c>
      <c r="H17" s="201">
        <v>1</v>
      </c>
      <c r="I17" s="197">
        <f>'Class List'!$C17</f>
        <v>9</v>
      </c>
      <c r="J17" s="194">
        <f t="shared" si="0"/>
        <v>1</v>
      </c>
      <c r="K17" s="195" t="str">
        <f t="shared" si="1"/>
        <v>Beginning</v>
      </c>
      <c r="L17" s="306"/>
      <c r="M17" s="308"/>
      <c r="N17" s="306"/>
      <c r="O17" s="306"/>
      <c r="P17" s="306"/>
      <c r="Q17" s="306"/>
      <c r="R17" s="306"/>
      <c r="S17" s="306"/>
      <c r="T17" s="307"/>
    </row>
    <row r="18" spans="1:20" ht="30" customHeight="1" x14ac:dyDescent="0.25">
      <c r="A18" s="198" t="str">
        <f>'Class List'!A18</f>
        <v>Student</v>
      </c>
      <c r="B18" s="201">
        <v>0</v>
      </c>
      <c r="C18" s="202">
        <v>0</v>
      </c>
      <c r="D18" s="202">
        <v>0</v>
      </c>
      <c r="E18" s="202">
        <v>0</v>
      </c>
      <c r="F18" s="202">
        <v>0</v>
      </c>
      <c r="G18" s="201">
        <v>0</v>
      </c>
      <c r="H18" s="201">
        <v>1</v>
      </c>
      <c r="I18" s="197">
        <f>'Class List'!$C18</f>
        <v>10</v>
      </c>
      <c r="J18" s="194">
        <f t="shared" si="0"/>
        <v>1</v>
      </c>
      <c r="K18" s="195" t="str">
        <f t="shared" si="1"/>
        <v>Beginning</v>
      </c>
      <c r="L18" s="306"/>
      <c r="M18" s="308"/>
      <c r="N18" s="306"/>
      <c r="O18" s="306"/>
      <c r="P18" s="306"/>
      <c r="Q18" s="306"/>
      <c r="R18" s="306"/>
      <c r="S18" s="306"/>
      <c r="T18" s="307"/>
    </row>
    <row r="19" spans="1:20" ht="30" customHeight="1" x14ac:dyDescent="0.25">
      <c r="A19" s="198" t="str">
        <f>'Class List'!A19</f>
        <v>Student</v>
      </c>
      <c r="B19" s="201">
        <v>0</v>
      </c>
      <c r="C19" s="202">
        <v>0</v>
      </c>
      <c r="D19" s="202">
        <v>0</v>
      </c>
      <c r="E19" s="202">
        <v>0</v>
      </c>
      <c r="F19" s="202">
        <v>0</v>
      </c>
      <c r="G19" s="201">
        <v>0</v>
      </c>
      <c r="H19" s="201">
        <v>1</v>
      </c>
      <c r="I19" s="197">
        <f>'Class List'!$C19</f>
        <v>10</v>
      </c>
      <c r="J19" s="194">
        <f t="shared" si="0"/>
        <v>1</v>
      </c>
      <c r="K19" s="195" t="str">
        <f t="shared" si="1"/>
        <v>Beginning</v>
      </c>
      <c r="L19" s="306"/>
      <c r="M19" s="308"/>
      <c r="N19" s="306"/>
      <c r="O19" s="306"/>
      <c r="P19" s="306"/>
      <c r="Q19" s="306"/>
      <c r="R19" s="306"/>
      <c r="S19" s="306"/>
      <c r="T19" s="307"/>
    </row>
    <row r="20" spans="1:20" ht="30" customHeight="1" x14ac:dyDescent="0.25">
      <c r="A20" s="198" t="str">
        <f>'Class List'!A20</f>
        <v>Student</v>
      </c>
      <c r="B20" s="201">
        <v>0</v>
      </c>
      <c r="C20" s="202">
        <v>0</v>
      </c>
      <c r="D20" s="202">
        <v>0</v>
      </c>
      <c r="E20" s="202">
        <v>0</v>
      </c>
      <c r="F20" s="202">
        <v>0</v>
      </c>
      <c r="G20" s="201">
        <v>0</v>
      </c>
      <c r="H20" s="201">
        <v>1</v>
      </c>
      <c r="I20" s="197">
        <f>'Class List'!$C20</f>
        <v>10</v>
      </c>
      <c r="J20" s="194">
        <f t="shared" si="0"/>
        <v>1</v>
      </c>
      <c r="K20" s="195" t="str">
        <f t="shared" si="1"/>
        <v>Beginning</v>
      </c>
      <c r="L20" s="306"/>
      <c r="M20" s="308"/>
      <c r="N20" s="306"/>
      <c r="O20" s="306"/>
      <c r="P20" s="306"/>
      <c r="Q20" s="306"/>
      <c r="R20" s="306"/>
      <c r="S20" s="306"/>
      <c r="T20" s="307"/>
    </row>
    <row r="21" spans="1:20" ht="30" customHeight="1" x14ac:dyDescent="0.25">
      <c r="A21" s="198" t="str">
        <f>'Class List'!A21</f>
        <v>Student</v>
      </c>
      <c r="B21" s="201">
        <v>0</v>
      </c>
      <c r="C21" s="202">
        <v>0</v>
      </c>
      <c r="D21" s="202">
        <v>0</v>
      </c>
      <c r="E21" s="202">
        <v>0</v>
      </c>
      <c r="F21" s="202">
        <v>0</v>
      </c>
      <c r="G21" s="201">
        <v>0</v>
      </c>
      <c r="H21" s="201">
        <v>1</v>
      </c>
      <c r="I21" s="197">
        <f>'Class List'!$C21</f>
        <v>9</v>
      </c>
      <c r="J21" s="194">
        <f t="shared" si="0"/>
        <v>1</v>
      </c>
      <c r="K21" s="195" t="str">
        <f t="shared" si="1"/>
        <v>Beginning</v>
      </c>
      <c r="L21" s="306"/>
      <c r="M21" s="308"/>
      <c r="N21" s="306"/>
      <c r="O21" s="306"/>
      <c r="P21" s="306"/>
      <c r="Q21" s="306"/>
      <c r="R21" s="306"/>
      <c r="S21" s="306"/>
      <c r="T21" s="307"/>
    </row>
    <row r="22" spans="1:20" ht="30" customHeight="1" x14ac:dyDescent="0.25">
      <c r="A22" s="198" t="str">
        <f>'Class List'!A22</f>
        <v>Student</v>
      </c>
      <c r="B22" s="201">
        <v>0</v>
      </c>
      <c r="C22" s="202">
        <v>0</v>
      </c>
      <c r="D22" s="202">
        <v>0</v>
      </c>
      <c r="E22" s="202">
        <v>0</v>
      </c>
      <c r="F22" s="202">
        <v>0</v>
      </c>
      <c r="G22" s="201">
        <v>0</v>
      </c>
      <c r="H22" s="201">
        <v>1</v>
      </c>
      <c r="I22" s="197">
        <f>'Class List'!$C22</f>
        <v>10</v>
      </c>
      <c r="J22" s="194">
        <f t="shared" si="0"/>
        <v>1</v>
      </c>
      <c r="K22" s="195" t="str">
        <f t="shared" si="1"/>
        <v>Beginning</v>
      </c>
      <c r="L22" s="306"/>
      <c r="M22" s="308"/>
      <c r="N22" s="306"/>
      <c r="O22" s="306"/>
      <c r="P22" s="306"/>
      <c r="Q22" s="306"/>
      <c r="R22" s="306"/>
      <c r="S22" s="306"/>
      <c r="T22" s="307"/>
    </row>
    <row r="23" spans="1:20" ht="30" customHeight="1" x14ac:dyDescent="0.25">
      <c r="A23" s="198" t="str">
        <f>'Class List'!A23</f>
        <v>Student</v>
      </c>
      <c r="B23" s="201">
        <v>0</v>
      </c>
      <c r="C23" s="202">
        <v>0</v>
      </c>
      <c r="D23" s="202">
        <v>0</v>
      </c>
      <c r="E23" s="202">
        <v>0</v>
      </c>
      <c r="F23" s="202">
        <v>0</v>
      </c>
      <c r="G23" s="201">
        <v>0</v>
      </c>
      <c r="H23" s="201">
        <v>1</v>
      </c>
      <c r="I23" s="197">
        <f>'Class List'!$C23</f>
        <v>10</v>
      </c>
      <c r="J23" s="194">
        <f t="shared" si="0"/>
        <v>1</v>
      </c>
      <c r="K23" s="195" t="str">
        <f t="shared" si="1"/>
        <v>Beginning</v>
      </c>
      <c r="L23" s="306"/>
      <c r="M23" s="308"/>
      <c r="N23" s="306"/>
      <c r="O23" s="306"/>
      <c r="P23" s="306"/>
      <c r="Q23" s="306"/>
      <c r="R23" s="306"/>
      <c r="S23" s="306"/>
      <c r="T23" s="307"/>
    </row>
    <row r="24" spans="1:20" ht="30" customHeight="1" x14ac:dyDescent="0.25">
      <c r="A24" s="198" t="str">
        <f>'Class List'!A24</f>
        <v>Student</v>
      </c>
      <c r="B24" s="201">
        <v>0</v>
      </c>
      <c r="C24" s="202">
        <v>0</v>
      </c>
      <c r="D24" s="202">
        <v>0</v>
      </c>
      <c r="E24" s="202">
        <v>0</v>
      </c>
      <c r="F24" s="202">
        <v>0</v>
      </c>
      <c r="G24" s="201">
        <v>0</v>
      </c>
      <c r="H24" s="201">
        <v>1</v>
      </c>
      <c r="I24" s="197">
        <f>'Class List'!$C24</f>
        <v>9</v>
      </c>
      <c r="J24" s="194">
        <f t="shared" si="0"/>
        <v>1</v>
      </c>
      <c r="K24" s="195" t="str">
        <f t="shared" si="1"/>
        <v>Beginning</v>
      </c>
      <c r="L24" s="306"/>
      <c r="M24" s="308"/>
      <c r="N24" s="306"/>
      <c r="O24" s="306"/>
      <c r="P24" s="306"/>
      <c r="Q24" s="306"/>
      <c r="R24" s="306"/>
      <c r="S24" s="306"/>
      <c r="T24" s="307"/>
    </row>
    <row r="25" spans="1:20" ht="30" customHeight="1" x14ac:dyDescent="0.25">
      <c r="A25" s="198" t="str">
        <f>'Class List'!A25</f>
        <v>Student</v>
      </c>
      <c r="B25" s="201">
        <v>0</v>
      </c>
      <c r="C25" s="202">
        <v>0</v>
      </c>
      <c r="D25" s="202">
        <v>0</v>
      </c>
      <c r="E25" s="202">
        <v>0</v>
      </c>
      <c r="F25" s="202">
        <v>0</v>
      </c>
      <c r="G25" s="201">
        <v>0</v>
      </c>
      <c r="H25" s="201">
        <v>1</v>
      </c>
      <c r="I25" s="197">
        <f>'Class List'!$C25</f>
        <v>10</v>
      </c>
      <c r="J25" s="194">
        <f t="shared" si="0"/>
        <v>1</v>
      </c>
      <c r="K25" s="195" t="str">
        <f t="shared" si="1"/>
        <v>Beginning</v>
      </c>
      <c r="L25" s="306"/>
      <c r="M25" s="308"/>
      <c r="N25" s="306"/>
      <c r="O25" s="306"/>
      <c r="P25" s="306"/>
      <c r="Q25" s="306"/>
      <c r="R25" s="306"/>
      <c r="S25" s="306"/>
      <c r="T25" s="307"/>
    </row>
    <row r="26" spans="1:20" ht="30" customHeight="1" x14ac:dyDescent="0.25">
      <c r="A26" s="198" t="str">
        <f>'Class List'!A26</f>
        <v>Student</v>
      </c>
      <c r="B26" s="201">
        <v>0</v>
      </c>
      <c r="C26" s="202">
        <v>0</v>
      </c>
      <c r="D26" s="202">
        <v>0</v>
      </c>
      <c r="E26" s="202">
        <v>0</v>
      </c>
      <c r="F26" s="202">
        <v>0</v>
      </c>
      <c r="G26" s="201">
        <v>0</v>
      </c>
      <c r="H26" s="201">
        <v>1</v>
      </c>
      <c r="I26" s="197">
        <f>'Class List'!$C26</f>
        <v>10</v>
      </c>
      <c r="J26" s="194">
        <f t="shared" si="0"/>
        <v>1</v>
      </c>
      <c r="K26" s="195" t="str">
        <f t="shared" si="1"/>
        <v>Beginning</v>
      </c>
      <c r="L26" s="306"/>
      <c r="M26" s="308"/>
      <c r="N26" s="306"/>
      <c r="O26" s="306"/>
      <c r="P26" s="306"/>
      <c r="Q26" s="306"/>
      <c r="R26" s="306"/>
      <c r="S26" s="306"/>
      <c r="T26" s="307"/>
    </row>
    <row r="27" spans="1:20" ht="30" customHeight="1" x14ac:dyDescent="0.25">
      <c r="A27" s="198" t="str">
        <f>'Class List'!A27</f>
        <v>Student</v>
      </c>
      <c r="B27" s="201">
        <v>0</v>
      </c>
      <c r="C27" s="202">
        <v>0</v>
      </c>
      <c r="D27" s="202">
        <v>0</v>
      </c>
      <c r="E27" s="202">
        <v>0</v>
      </c>
      <c r="F27" s="202">
        <v>0</v>
      </c>
      <c r="G27" s="201">
        <v>0</v>
      </c>
      <c r="H27" s="201">
        <v>1</v>
      </c>
      <c r="I27" s="197">
        <f>'Class List'!$C27</f>
        <v>9</v>
      </c>
      <c r="J27" s="194">
        <f t="shared" si="0"/>
        <v>1</v>
      </c>
      <c r="K27" s="195" t="str">
        <f t="shared" si="1"/>
        <v>Beginning</v>
      </c>
      <c r="L27" s="306"/>
      <c r="M27" s="308"/>
      <c r="N27" s="306"/>
      <c r="O27" s="306"/>
      <c r="P27" s="306"/>
      <c r="Q27" s="306"/>
      <c r="R27" s="306"/>
      <c r="S27" s="306"/>
      <c r="T27" s="307"/>
    </row>
    <row r="28" spans="1:20" ht="30" customHeight="1" x14ac:dyDescent="0.25">
      <c r="A28" s="198" t="str">
        <f>'Class List'!A28</f>
        <v>Student</v>
      </c>
      <c r="B28" s="201">
        <v>0</v>
      </c>
      <c r="C28" s="202">
        <v>0</v>
      </c>
      <c r="D28" s="202">
        <v>0</v>
      </c>
      <c r="E28" s="202">
        <v>0</v>
      </c>
      <c r="F28" s="202">
        <v>0</v>
      </c>
      <c r="G28" s="201">
        <v>0</v>
      </c>
      <c r="H28" s="201">
        <v>1</v>
      </c>
      <c r="I28" s="197">
        <f>'Class List'!$C28</f>
        <v>9</v>
      </c>
      <c r="J28" s="194">
        <f t="shared" si="0"/>
        <v>1</v>
      </c>
      <c r="K28" s="195" t="str">
        <f t="shared" si="1"/>
        <v>Beginning</v>
      </c>
      <c r="L28" s="306"/>
      <c r="M28" s="308"/>
      <c r="N28" s="306"/>
      <c r="O28" s="306"/>
      <c r="P28" s="306"/>
      <c r="Q28" s="306"/>
      <c r="R28" s="306"/>
      <c r="S28" s="306"/>
      <c r="T28" s="307"/>
    </row>
    <row r="29" spans="1:20" ht="30" customHeight="1" x14ac:dyDescent="0.25">
      <c r="A29" s="198" t="str">
        <f>'Class List'!A29</f>
        <v>Student</v>
      </c>
      <c r="B29" s="201">
        <v>0</v>
      </c>
      <c r="C29" s="202">
        <v>0</v>
      </c>
      <c r="D29" s="202">
        <v>0</v>
      </c>
      <c r="E29" s="202">
        <v>0</v>
      </c>
      <c r="F29" s="202">
        <v>0</v>
      </c>
      <c r="G29" s="201">
        <v>0</v>
      </c>
      <c r="H29" s="201">
        <v>1</v>
      </c>
      <c r="I29" s="197">
        <f>'Class List'!$C29</f>
        <v>9</v>
      </c>
      <c r="J29" s="194">
        <f t="shared" si="0"/>
        <v>1</v>
      </c>
      <c r="K29" s="195" t="str">
        <f t="shared" si="1"/>
        <v>Beginning</v>
      </c>
      <c r="L29" s="306"/>
      <c r="M29" s="308"/>
      <c r="N29" s="306"/>
      <c r="O29" s="306"/>
      <c r="P29" s="306"/>
      <c r="Q29" s="306"/>
      <c r="R29" s="306"/>
      <c r="S29" s="306"/>
      <c r="T29" s="307"/>
    </row>
    <row r="30" spans="1:20" ht="30" customHeight="1" x14ac:dyDescent="0.25">
      <c r="A30" s="198" t="str">
        <f>'Class List'!A30</f>
        <v>Student</v>
      </c>
      <c r="B30" s="201">
        <v>0</v>
      </c>
      <c r="C30" s="202">
        <v>0</v>
      </c>
      <c r="D30" s="202">
        <v>0</v>
      </c>
      <c r="E30" s="202">
        <v>0</v>
      </c>
      <c r="F30" s="202">
        <v>0</v>
      </c>
      <c r="G30" s="201">
        <v>0</v>
      </c>
      <c r="H30" s="201">
        <v>1</v>
      </c>
      <c r="I30" s="197">
        <f>'Class List'!$C30</f>
        <v>9</v>
      </c>
      <c r="J30" s="194">
        <f t="shared" si="0"/>
        <v>1</v>
      </c>
      <c r="K30" s="195" t="str">
        <f t="shared" si="1"/>
        <v>Beginning</v>
      </c>
      <c r="L30" s="306"/>
      <c r="M30" s="308"/>
      <c r="N30" s="306"/>
      <c r="O30" s="306"/>
      <c r="P30" s="306"/>
      <c r="Q30" s="306"/>
      <c r="R30" s="306"/>
      <c r="S30" s="306"/>
      <c r="T30" s="307"/>
    </row>
    <row r="31" spans="1:20" ht="30" customHeight="1" x14ac:dyDescent="0.25">
      <c r="A31" s="198">
        <f>'Class List'!A31</f>
        <v>0</v>
      </c>
      <c r="B31" s="201">
        <v>0</v>
      </c>
      <c r="C31" s="202">
        <v>0</v>
      </c>
      <c r="D31" s="202">
        <v>0</v>
      </c>
      <c r="E31" s="202">
        <v>0</v>
      </c>
      <c r="F31" s="202">
        <v>0</v>
      </c>
      <c r="G31" s="201">
        <v>0</v>
      </c>
      <c r="H31" s="201">
        <v>1</v>
      </c>
      <c r="I31" s="197">
        <f>'Class List'!$C31</f>
        <v>0</v>
      </c>
      <c r="J31" s="194">
        <f t="shared" si="0"/>
        <v>1</v>
      </c>
      <c r="K31" s="195" t="str">
        <f t="shared" si="1"/>
        <v>Age Not Found</v>
      </c>
      <c r="L31" s="306"/>
      <c r="M31" s="308"/>
      <c r="N31" s="306"/>
      <c r="O31" s="306"/>
      <c r="P31" s="306"/>
      <c r="Q31" s="306"/>
      <c r="R31" s="306"/>
      <c r="S31" s="306"/>
      <c r="T31" s="307"/>
    </row>
    <row r="32" spans="1:20" ht="30" customHeight="1" x14ac:dyDescent="0.25">
      <c r="A32" s="198">
        <f>'Class List'!A32</f>
        <v>0</v>
      </c>
      <c r="B32" s="201">
        <v>0</v>
      </c>
      <c r="C32" s="202">
        <v>0</v>
      </c>
      <c r="D32" s="202">
        <v>0</v>
      </c>
      <c r="E32" s="202">
        <v>0</v>
      </c>
      <c r="F32" s="202">
        <v>0</v>
      </c>
      <c r="G32" s="201">
        <v>0</v>
      </c>
      <c r="H32" s="201">
        <v>1</v>
      </c>
      <c r="I32" s="197">
        <f>'Class List'!$C32</f>
        <v>0</v>
      </c>
      <c r="J32" s="194">
        <f t="shared" si="0"/>
        <v>1</v>
      </c>
      <c r="K32" s="195" t="str">
        <f t="shared" si="1"/>
        <v>Age Not Found</v>
      </c>
      <c r="L32" s="306"/>
      <c r="M32" s="308"/>
      <c r="N32" s="306"/>
      <c r="O32" s="306"/>
      <c r="P32" s="306"/>
      <c r="Q32" s="306"/>
      <c r="R32" s="306"/>
      <c r="S32" s="306"/>
      <c r="T32" s="307"/>
    </row>
    <row r="33" spans="1:20" ht="30" customHeight="1" x14ac:dyDescent="0.25">
      <c r="A33" s="198">
        <f>'Class List'!A33</f>
        <v>0</v>
      </c>
      <c r="B33" s="201">
        <v>0</v>
      </c>
      <c r="C33" s="202">
        <v>0</v>
      </c>
      <c r="D33" s="202">
        <v>0</v>
      </c>
      <c r="E33" s="202">
        <v>0</v>
      </c>
      <c r="F33" s="202">
        <v>0</v>
      </c>
      <c r="G33" s="201">
        <v>0</v>
      </c>
      <c r="H33" s="201">
        <v>1</v>
      </c>
      <c r="I33" s="197">
        <f>'Class List'!$C33</f>
        <v>0</v>
      </c>
      <c r="J33" s="194">
        <f t="shared" si="0"/>
        <v>1</v>
      </c>
      <c r="K33" s="195" t="str">
        <f t="shared" si="1"/>
        <v>Age Not Found</v>
      </c>
      <c r="L33" s="306"/>
      <c r="M33" s="308"/>
      <c r="N33" s="306"/>
      <c r="O33" s="306"/>
      <c r="P33" s="306"/>
      <c r="Q33" s="306"/>
      <c r="R33" s="306"/>
      <c r="S33" s="306"/>
      <c r="T33" s="307"/>
    </row>
    <row r="34" spans="1:20" ht="30" customHeight="1" thickBot="1" x14ac:dyDescent="0.3">
      <c r="A34" s="198">
        <f>'Class List'!A34</f>
        <v>0</v>
      </c>
      <c r="B34" s="203">
        <v>0</v>
      </c>
      <c r="C34" s="204">
        <v>0</v>
      </c>
      <c r="D34" s="204">
        <v>0</v>
      </c>
      <c r="E34" s="204">
        <v>0</v>
      </c>
      <c r="F34" s="204">
        <v>0</v>
      </c>
      <c r="G34" s="203">
        <v>0</v>
      </c>
      <c r="H34" s="203">
        <v>1</v>
      </c>
      <c r="I34" s="197">
        <f>'Class List'!$C34</f>
        <v>0</v>
      </c>
      <c r="J34" s="194">
        <f t="shared" si="0"/>
        <v>1</v>
      </c>
      <c r="K34" s="195" t="str">
        <f t="shared" si="1"/>
        <v>Age Not Found</v>
      </c>
      <c r="L34" s="306"/>
      <c r="M34" s="308"/>
      <c r="N34" s="306"/>
      <c r="O34" s="306"/>
      <c r="P34" s="306"/>
      <c r="Q34" s="306"/>
      <c r="R34" s="306"/>
      <c r="S34" s="306"/>
      <c r="T34" s="307"/>
    </row>
    <row r="35" spans="1:20" ht="14.1" customHeight="1" thickTop="1" thickBot="1" x14ac:dyDescent="0.3">
      <c r="A35" s="208" t="s">
        <v>34</v>
      </c>
      <c r="B35" s="209">
        <f t="shared" ref="B35:H35" si="2">SUM(B5:B34)</f>
        <v>0</v>
      </c>
      <c r="C35" s="209">
        <f t="shared" si="2"/>
        <v>0</v>
      </c>
      <c r="D35" s="209">
        <f t="shared" si="2"/>
        <v>0</v>
      </c>
      <c r="E35" s="209">
        <f t="shared" si="2"/>
        <v>1</v>
      </c>
      <c r="F35" s="192">
        <f t="shared" si="2"/>
        <v>1</v>
      </c>
      <c r="G35" s="192">
        <f t="shared" si="2"/>
        <v>1</v>
      </c>
      <c r="H35" s="192">
        <f t="shared" si="2"/>
        <v>30</v>
      </c>
      <c r="I35" s="192"/>
      <c r="J35" s="192"/>
      <c r="K35" s="193"/>
      <c r="L35" s="306"/>
      <c r="M35" s="308"/>
      <c r="N35" s="306"/>
      <c r="O35" s="306"/>
      <c r="P35" s="306"/>
      <c r="Q35" s="306"/>
      <c r="R35" s="306"/>
      <c r="S35" s="306"/>
      <c r="T35" s="307"/>
    </row>
    <row r="36" spans="1:20" ht="16.05" customHeight="1" thickTop="1" x14ac:dyDescent="0.3">
      <c r="A36" s="365" t="s">
        <v>35</v>
      </c>
      <c r="B36" s="366"/>
      <c r="C36" s="366"/>
      <c r="D36" s="366"/>
      <c r="E36" s="367"/>
      <c r="F36" s="306"/>
      <c r="G36" s="306"/>
      <c r="H36" s="306"/>
      <c r="J36" s="340"/>
      <c r="K36" s="306"/>
      <c r="L36" s="306"/>
      <c r="M36" s="308"/>
      <c r="N36" s="306"/>
      <c r="O36" s="306"/>
      <c r="P36" s="306"/>
      <c r="Q36" s="306"/>
      <c r="R36" s="306"/>
      <c r="S36" s="306"/>
      <c r="T36" s="307"/>
    </row>
    <row r="37" spans="1:20" ht="13.05" customHeight="1" x14ac:dyDescent="0.25">
      <c r="A37" s="368"/>
      <c r="B37" s="325"/>
      <c r="C37" s="325"/>
      <c r="D37" s="325"/>
      <c r="E37" s="369"/>
      <c r="F37" s="306"/>
      <c r="G37" s="306"/>
      <c r="H37" s="306"/>
      <c r="J37" s="306"/>
      <c r="K37" s="306"/>
      <c r="L37" s="306"/>
      <c r="M37" s="308"/>
      <c r="N37" s="306"/>
      <c r="O37" s="306"/>
      <c r="P37" s="306"/>
      <c r="Q37" s="306"/>
      <c r="R37" s="306"/>
      <c r="S37" s="306"/>
      <c r="T37" s="307"/>
    </row>
    <row r="38" spans="1:20" ht="13.05" customHeight="1" x14ac:dyDescent="0.25">
      <c r="A38" s="47" t="s">
        <v>5</v>
      </c>
      <c r="B38" s="6" t="s">
        <v>37</v>
      </c>
      <c r="C38" s="6" t="s">
        <v>38</v>
      </c>
      <c r="D38" s="6" t="s">
        <v>39</v>
      </c>
      <c r="E38" s="48" t="s">
        <v>40</v>
      </c>
      <c r="F38" s="306"/>
      <c r="G38" s="306"/>
      <c r="H38" s="306"/>
      <c r="J38" s="8" t="s">
        <v>41</v>
      </c>
      <c r="K38" s="9"/>
      <c r="L38" s="306"/>
      <c r="M38" s="308"/>
      <c r="N38" s="306"/>
      <c r="O38" s="306"/>
      <c r="P38" s="306"/>
      <c r="Q38" s="306"/>
      <c r="R38" s="306"/>
      <c r="S38" s="306"/>
      <c r="T38" s="307"/>
    </row>
    <row r="39" spans="1:20" ht="12.6" customHeight="1" x14ac:dyDescent="0.25">
      <c r="A39" s="49">
        <v>5</v>
      </c>
      <c r="B39" s="10">
        <v>0</v>
      </c>
      <c r="C39" s="10">
        <v>0</v>
      </c>
      <c r="D39" s="10">
        <v>1</v>
      </c>
      <c r="E39" s="50">
        <v>2</v>
      </c>
      <c r="F39" s="306"/>
      <c r="G39" s="306"/>
      <c r="H39" s="306"/>
      <c r="J39" s="12" t="s">
        <v>42</v>
      </c>
      <c r="K39" s="13">
        <f>COUNTIF(K$5:K$34, "Beginning")</f>
        <v>26</v>
      </c>
      <c r="L39" s="306"/>
      <c r="M39" s="308"/>
      <c r="N39" s="306"/>
      <c r="O39" s="306"/>
      <c r="P39" s="306"/>
      <c r="Q39" s="306"/>
      <c r="R39" s="306"/>
      <c r="S39" s="306"/>
      <c r="T39" s="307"/>
    </row>
    <row r="40" spans="1:20" ht="12.6" customHeight="1" x14ac:dyDescent="0.25">
      <c r="A40" s="49">
        <v>6</v>
      </c>
      <c r="B40" s="10">
        <v>0</v>
      </c>
      <c r="C40" s="10">
        <v>1</v>
      </c>
      <c r="D40" s="10">
        <v>2</v>
      </c>
      <c r="E40" s="50">
        <v>3</v>
      </c>
      <c r="F40" s="306"/>
      <c r="G40" s="306"/>
      <c r="H40" s="306"/>
      <c r="J40" s="12" t="s">
        <v>38</v>
      </c>
      <c r="K40" s="13">
        <f>COUNTIF(K$5:K$34, "Progressing")</f>
        <v>0</v>
      </c>
      <c r="L40" s="306"/>
      <c r="M40" s="308"/>
      <c r="N40" s="306"/>
      <c r="O40" s="306"/>
      <c r="P40" s="306"/>
      <c r="Q40" s="306"/>
      <c r="R40" s="306"/>
      <c r="S40" s="306"/>
      <c r="T40" s="307"/>
    </row>
    <row r="41" spans="1:20" ht="12.6" customHeight="1" x14ac:dyDescent="0.25">
      <c r="A41" s="49">
        <v>7</v>
      </c>
      <c r="B41" s="10">
        <v>2</v>
      </c>
      <c r="C41" s="62">
        <v>3</v>
      </c>
      <c r="D41" s="10">
        <v>4</v>
      </c>
      <c r="E41" s="50">
        <v>5</v>
      </c>
      <c r="F41" s="306"/>
      <c r="G41" s="306"/>
      <c r="H41" s="306"/>
      <c r="J41" s="12" t="s">
        <v>43</v>
      </c>
      <c r="K41" s="13">
        <f>COUNTIF(K$5:K$34, "Achieving")</f>
        <v>0</v>
      </c>
      <c r="L41" s="306"/>
      <c r="M41" s="308"/>
      <c r="N41" s="306"/>
      <c r="O41" s="306"/>
      <c r="P41" s="306"/>
      <c r="Q41" s="306"/>
      <c r="R41" s="306"/>
      <c r="S41" s="306"/>
      <c r="T41" s="307"/>
    </row>
    <row r="42" spans="1:20" ht="12.6" customHeight="1" x14ac:dyDescent="0.25">
      <c r="A42" s="49">
        <v>8</v>
      </c>
      <c r="B42" s="10">
        <v>5</v>
      </c>
      <c r="C42" s="62">
        <v>6</v>
      </c>
      <c r="D42" s="10">
        <v>7</v>
      </c>
      <c r="E42" s="50">
        <v>8</v>
      </c>
      <c r="F42" s="306"/>
      <c r="G42" s="306"/>
      <c r="H42" s="306"/>
      <c r="J42" s="12" t="s">
        <v>40</v>
      </c>
      <c r="K42" s="13">
        <f>COUNTIF(K$5:K$34, "Excelling")</f>
        <v>0</v>
      </c>
      <c r="L42" s="306"/>
      <c r="M42" s="308"/>
      <c r="N42" s="306"/>
      <c r="O42" s="306"/>
      <c r="P42" s="306"/>
      <c r="Q42" s="306"/>
      <c r="R42" s="306"/>
      <c r="S42" s="306"/>
      <c r="T42" s="307"/>
    </row>
    <row r="43" spans="1:20" ht="12.6" customHeight="1" x14ac:dyDescent="0.25">
      <c r="A43" s="51">
        <v>9</v>
      </c>
      <c r="B43" s="10">
        <v>5</v>
      </c>
      <c r="C43" s="62">
        <v>6</v>
      </c>
      <c r="D43" s="10">
        <v>7</v>
      </c>
      <c r="E43" s="50">
        <v>8</v>
      </c>
      <c r="F43" s="306"/>
      <c r="G43" s="306"/>
      <c r="H43" s="306"/>
      <c r="J43" s="306"/>
      <c r="K43" s="306"/>
      <c r="L43" s="306"/>
      <c r="M43" s="308"/>
      <c r="N43" s="306"/>
      <c r="O43" s="306"/>
      <c r="P43" s="306"/>
      <c r="Q43" s="306"/>
      <c r="R43" s="306"/>
      <c r="S43" s="306"/>
      <c r="T43" s="307"/>
    </row>
    <row r="44" spans="1:20" ht="13.05" customHeight="1" thickBot="1" x14ac:dyDescent="0.3">
      <c r="A44" s="49">
        <v>10</v>
      </c>
      <c r="B44" s="10">
        <v>5</v>
      </c>
      <c r="C44" s="62">
        <v>6</v>
      </c>
      <c r="D44" s="10">
        <v>7</v>
      </c>
      <c r="E44" s="50">
        <v>8</v>
      </c>
      <c r="F44" s="306"/>
      <c r="G44" s="306"/>
      <c r="H44" s="306"/>
      <c r="J44" s="306"/>
      <c r="K44" s="306"/>
      <c r="L44" s="306"/>
      <c r="M44" s="309"/>
      <c r="N44" s="310"/>
      <c r="O44" s="310"/>
      <c r="P44" s="310"/>
      <c r="Q44" s="310"/>
      <c r="R44" s="310"/>
      <c r="S44" s="310"/>
      <c r="T44" s="311"/>
    </row>
    <row r="45" spans="1:20" ht="13.05" customHeight="1" thickTop="1" x14ac:dyDescent="0.25">
      <c r="A45" s="49">
        <v>11</v>
      </c>
      <c r="B45" s="10">
        <v>5</v>
      </c>
      <c r="C45" s="10">
        <v>6</v>
      </c>
      <c r="D45" s="10">
        <v>7</v>
      </c>
      <c r="E45" s="50">
        <v>8</v>
      </c>
      <c r="F45" s="306"/>
      <c r="G45" s="306"/>
      <c r="H45" s="306"/>
      <c r="J45" s="306"/>
      <c r="K45" s="306"/>
      <c r="L45" s="306"/>
      <c r="M45" s="306"/>
      <c r="N45" s="306"/>
      <c r="O45" s="306"/>
      <c r="P45" s="306"/>
      <c r="Q45" s="306"/>
      <c r="R45" s="306"/>
      <c r="S45" s="306"/>
      <c r="T45" s="306"/>
    </row>
    <row r="46" spans="1:20" ht="13.05" customHeight="1" thickBot="1" x14ac:dyDescent="0.3">
      <c r="A46" s="52">
        <v>12</v>
      </c>
      <c r="B46" s="53">
        <v>5</v>
      </c>
      <c r="C46" s="53">
        <v>6</v>
      </c>
      <c r="D46" s="53">
        <v>7</v>
      </c>
      <c r="E46" s="54">
        <v>8</v>
      </c>
      <c r="F46" s="306"/>
      <c r="G46" s="306"/>
      <c r="H46" s="306"/>
      <c r="J46" s="306"/>
      <c r="K46" s="306"/>
      <c r="L46" s="306"/>
      <c r="M46" s="306"/>
      <c r="N46" s="306"/>
      <c r="O46" s="306"/>
      <c r="P46" s="306"/>
      <c r="Q46" s="306"/>
      <c r="R46" s="306"/>
      <c r="S46" s="306"/>
      <c r="T46" s="306"/>
    </row>
    <row r="48" spans="1:20"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5">
    <mergeCell ref="G2:K2"/>
    <mergeCell ref="C2:F2"/>
    <mergeCell ref="A2:B2"/>
    <mergeCell ref="A1:K1"/>
    <mergeCell ref="L1:L46"/>
    <mergeCell ref="A36:E36"/>
    <mergeCell ref="F36:H46"/>
    <mergeCell ref="A37:E37"/>
    <mergeCell ref="J36:K37"/>
    <mergeCell ref="J43:K46"/>
    <mergeCell ref="M1:T1"/>
    <mergeCell ref="M2:P2"/>
    <mergeCell ref="M45:T46"/>
    <mergeCell ref="Q2:T2"/>
    <mergeCell ref="M3:T44"/>
  </mergeCells>
  <conditionalFormatting sqref="K5:K34">
    <cfRule type="containsText" dxfId="127" priority="1" operator="containsText" text="Error">
      <formula>NOT(ISERROR(SEARCH("Error",K5)))</formula>
    </cfRule>
    <cfRule type="containsText" dxfId="126" priority="2" operator="containsText" text="Age Not Found">
      <formula>NOT(ISERROR(SEARCH("Age Not Found",K5)))</formula>
    </cfRule>
    <cfRule type="containsText" dxfId="125" priority="3" operator="containsText" text="Beginning">
      <formula>NOT(ISERROR(SEARCH("Beginning",K5)))</formula>
    </cfRule>
    <cfRule type="containsText" dxfId="124" priority="4" operator="containsText" text="Progressing">
      <formula>NOT(ISERROR(SEARCH("Progressing",K5)))</formula>
    </cfRule>
    <cfRule type="containsText" dxfId="123" priority="5" operator="containsText" text="Achieving">
      <formula>NOT(ISERROR(SEARCH("Achieving",K5)))</formula>
    </cfRule>
    <cfRule type="containsText" dxfId="122" priority="6" operator="containsText" text="Excelling">
      <formula>NOT(ISERROR(SEARCH("Excelling",K5)))</formula>
    </cfRule>
  </conditionalFormatting>
  <dataValidations count="2">
    <dataValidation type="list" allowBlank="1" showInputMessage="1" showErrorMessage="1" sqref="K5:K34" xr:uid="{00000000-0002-0000-0600-000000000000}">
      <formula1>$A$48:$A$52</formula1>
    </dataValidation>
    <dataValidation type="list" allowBlank="1" showInputMessage="1" showErrorMessage="1" sqref="B5:H34" xr:uid="{7402ABFF-114A-45B3-A266-A0D09949E4B2}">
      <formula1>"1, 0"</formula1>
    </dataValidation>
  </dataValidations>
  <pageMargins left="0.7" right="0.7" top="0.75" bottom="0.75" header="0.3" footer="0.3"/>
  <pageSetup orientation="portrait"/>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9"/>
    <outlinePr summaryBelow="0" summaryRight="0"/>
  </sheetPr>
  <dimension ref="A1:U52"/>
  <sheetViews>
    <sheetView showGridLines="0" zoomScale="55" zoomScaleNormal="55" workbookViewId="0">
      <pane xSplit="1" ySplit="3" topLeftCell="B19" activePane="bottomRight" state="frozen"/>
      <selection activeCell="J5" sqref="J5:J34"/>
      <selection pane="topRight" activeCell="J5" sqref="J5:J34"/>
      <selection pane="bottomLeft" activeCell="J5" sqref="J5:J34"/>
      <selection pane="bottomRight" activeCell="A5" sqref="A5:L34"/>
    </sheetView>
  </sheetViews>
  <sheetFormatPr defaultColWidth="12.5546875" defaultRowHeight="15.75" customHeight="1" x14ac:dyDescent="0.25"/>
  <cols>
    <col min="1" max="1" width="27" customWidth="1"/>
    <col min="2" max="9" width="27.21875" customWidth="1"/>
    <col min="10" max="10" width="14.21875" customWidth="1"/>
    <col min="12" max="12" width="13.44140625" customWidth="1"/>
    <col min="21" max="21" width="24.77734375" customWidth="1"/>
  </cols>
  <sheetData>
    <row r="1" spans="1:21" ht="30.6" customHeight="1" thickTop="1" thickBot="1" x14ac:dyDescent="0.8">
      <c r="A1" s="312" t="s">
        <v>13</v>
      </c>
      <c r="B1" s="313"/>
      <c r="C1" s="313"/>
      <c r="D1" s="313"/>
      <c r="E1" s="313"/>
      <c r="F1" s="313"/>
      <c r="G1" s="313"/>
      <c r="H1" s="313"/>
      <c r="I1" s="313"/>
      <c r="J1" s="313"/>
      <c r="K1" s="313"/>
      <c r="L1" s="314"/>
      <c r="M1" s="306"/>
      <c r="N1" s="315" t="s">
        <v>20</v>
      </c>
      <c r="O1" s="316"/>
      <c r="P1" s="316"/>
      <c r="Q1" s="316"/>
      <c r="R1" s="316"/>
      <c r="S1" s="316"/>
      <c r="T1" s="316"/>
      <c r="U1" s="317"/>
    </row>
    <row r="2" spans="1:21" ht="39" customHeight="1" thickTop="1" thickBot="1" x14ac:dyDescent="0.55000000000000004">
      <c r="A2" s="331" t="s">
        <v>102</v>
      </c>
      <c r="B2" s="332"/>
      <c r="C2" s="333"/>
      <c r="D2" s="331" t="s">
        <v>103</v>
      </c>
      <c r="E2" s="332"/>
      <c r="F2" s="332"/>
      <c r="G2" s="333"/>
      <c r="H2" s="370" t="s">
        <v>104</v>
      </c>
      <c r="I2" s="332"/>
      <c r="J2" s="332"/>
      <c r="K2" s="332"/>
      <c r="L2" s="371"/>
      <c r="M2" s="306"/>
      <c r="N2" s="318" t="s">
        <v>24</v>
      </c>
      <c r="O2" s="319"/>
      <c r="P2" s="319"/>
      <c r="Q2" s="320"/>
      <c r="R2" s="321"/>
      <c r="S2" s="322"/>
      <c r="T2" s="322"/>
      <c r="U2" s="323"/>
    </row>
    <row r="3" spans="1:21" ht="65.55" customHeight="1" thickTop="1" thickBot="1" x14ac:dyDescent="0.3">
      <c r="A3" s="196" t="s">
        <v>25</v>
      </c>
      <c r="B3" s="26" t="s">
        <v>105</v>
      </c>
      <c r="C3" s="36" t="s">
        <v>106</v>
      </c>
      <c r="D3" s="21" t="s">
        <v>107</v>
      </c>
      <c r="E3" s="20" t="s">
        <v>108</v>
      </c>
      <c r="F3" s="19" t="s">
        <v>109</v>
      </c>
      <c r="G3" s="19" t="s">
        <v>110</v>
      </c>
      <c r="H3" s="19" t="s">
        <v>111</v>
      </c>
      <c r="I3" s="20" t="s">
        <v>112</v>
      </c>
      <c r="J3" s="66" t="s">
        <v>5</v>
      </c>
      <c r="K3" s="41" t="s">
        <v>113</v>
      </c>
      <c r="L3" s="4" t="s">
        <v>32</v>
      </c>
      <c r="M3" s="306"/>
      <c r="N3" s="305"/>
      <c r="O3" s="306"/>
      <c r="P3" s="306"/>
      <c r="Q3" s="306"/>
      <c r="R3" s="306"/>
      <c r="S3" s="306"/>
      <c r="T3" s="306"/>
      <c r="U3" s="307"/>
    </row>
    <row r="4" spans="1:21" ht="13.05" customHeight="1" thickTop="1" x14ac:dyDescent="0.25">
      <c r="A4" s="189" t="s">
        <v>33</v>
      </c>
      <c r="B4" s="27">
        <v>5</v>
      </c>
      <c r="C4" s="28">
        <v>6</v>
      </c>
      <c r="D4" s="28">
        <v>6</v>
      </c>
      <c r="E4" s="29">
        <v>7</v>
      </c>
      <c r="F4" s="30">
        <v>8</v>
      </c>
      <c r="G4" s="30">
        <v>8</v>
      </c>
      <c r="H4" s="30">
        <v>8</v>
      </c>
      <c r="I4" s="29">
        <v>7</v>
      </c>
      <c r="J4" s="2"/>
      <c r="K4" s="22"/>
      <c r="L4" s="23"/>
      <c r="M4" s="306"/>
      <c r="N4" s="308"/>
      <c r="O4" s="306"/>
      <c r="P4" s="306"/>
      <c r="Q4" s="306"/>
      <c r="R4" s="306"/>
      <c r="S4" s="306"/>
      <c r="T4" s="306"/>
      <c r="U4" s="307"/>
    </row>
    <row r="5" spans="1:21" ht="30" customHeight="1" x14ac:dyDescent="0.25">
      <c r="A5" s="198" t="str">
        <f>'Class List'!A5</f>
        <v>Student</v>
      </c>
      <c r="B5" s="199">
        <v>1</v>
      </c>
      <c r="C5" s="200">
        <v>1</v>
      </c>
      <c r="D5" s="200">
        <v>1</v>
      </c>
      <c r="E5" s="200">
        <v>1</v>
      </c>
      <c r="F5" s="200">
        <v>1</v>
      </c>
      <c r="G5" s="199">
        <v>1</v>
      </c>
      <c r="H5" s="199">
        <v>0</v>
      </c>
      <c r="I5" s="200">
        <v>0</v>
      </c>
      <c r="J5" s="197">
        <f>'Class List'!$C5</f>
        <v>9</v>
      </c>
      <c r="K5" s="194">
        <f t="shared" ref="K5:K34" si="0">SUM(B5:I5)</f>
        <v>6</v>
      </c>
      <c r="L5" s="195" t="str">
        <f t="shared" ref="L5:L34" si="1">IFERROR(
   IF(K5 &lt;= INDEX($B$36:$B$46, MATCH(J5, $A$36:$A$46, 0)), "Beginning",
      IF(K5 &lt;= INDEX($C$36:$C$46, MATCH(J5, $A$36:$A$46, 0)), "Progressing",
         IF(K5 &lt;= INDEX($D$36:$D$46, MATCH(J5, $A$36:$A$46, 0)), "Achieving",
            IF(K5 &gt;= INDEX($E$36:$E$46, MATCH(J5, $A$36:$A$46, 0)), "Excelling", "Error")))),
   "Age Not Found")</f>
        <v>Beginning</v>
      </c>
      <c r="M5" s="306"/>
      <c r="N5" s="308"/>
      <c r="O5" s="306"/>
      <c r="P5" s="306"/>
      <c r="Q5" s="306"/>
      <c r="R5" s="306"/>
      <c r="S5" s="306"/>
      <c r="T5" s="306"/>
      <c r="U5" s="307"/>
    </row>
    <row r="6" spans="1:21" ht="30" customHeight="1" x14ac:dyDescent="0.25">
      <c r="A6" s="198" t="str">
        <f>'Class List'!A6</f>
        <v>Student</v>
      </c>
      <c r="B6" s="201">
        <v>0</v>
      </c>
      <c r="C6" s="202">
        <v>0</v>
      </c>
      <c r="D6" s="202">
        <v>0</v>
      </c>
      <c r="E6" s="202">
        <v>0</v>
      </c>
      <c r="F6" s="202">
        <v>0</v>
      </c>
      <c r="G6" s="201">
        <v>0</v>
      </c>
      <c r="H6" s="201">
        <v>0</v>
      </c>
      <c r="I6" s="202">
        <v>0</v>
      </c>
      <c r="J6" s="197">
        <f>'Class List'!$C6</f>
        <v>10</v>
      </c>
      <c r="K6" s="194">
        <f t="shared" si="0"/>
        <v>0</v>
      </c>
      <c r="L6" s="195" t="str">
        <f t="shared" si="1"/>
        <v>Beginning</v>
      </c>
      <c r="M6" s="306"/>
      <c r="N6" s="308"/>
      <c r="O6" s="306"/>
      <c r="P6" s="306"/>
      <c r="Q6" s="306"/>
      <c r="R6" s="306"/>
      <c r="S6" s="306"/>
      <c r="T6" s="306"/>
      <c r="U6" s="307"/>
    </row>
    <row r="7" spans="1:21" ht="30" customHeight="1" x14ac:dyDescent="0.25">
      <c r="A7" s="198" t="str">
        <f>'Class List'!A7</f>
        <v>Student</v>
      </c>
      <c r="B7" s="201">
        <v>0</v>
      </c>
      <c r="C7" s="202">
        <v>0</v>
      </c>
      <c r="D7" s="202">
        <v>0</v>
      </c>
      <c r="E7" s="202">
        <v>0</v>
      </c>
      <c r="F7" s="202">
        <v>0</v>
      </c>
      <c r="G7" s="201">
        <v>0</v>
      </c>
      <c r="H7" s="201">
        <v>0</v>
      </c>
      <c r="I7" s="202">
        <v>0</v>
      </c>
      <c r="J7" s="197">
        <f>'Class List'!$C7</f>
        <v>9</v>
      </c>
      <c r="K7" s="194">
        <f t="shared" si="0"/>
        <v>0</v>
      </c>
      <c r="L7" s="195" t="str">
        <f t="shared" si="1"/>
        <v>Beginning</v>
      </c>
      <c r="M7" s="306"/>
      <c r="N7" s="308"/>
      <c r="O7" s="306"/>
      <c r="P7" s="306"/>
      <c r="Q7" s="306"/>
      <c r="R7" s="306"/>
      <c r="S7" s="306"/>
      <c r="T7" s="306"/>
      <c r="U7" s="307"/>
    </row>
    <row r="8" spans="1:21" ht="30" customHeight="1" x14ac:dyDescent="0.25">
      <c r="A8" s="198" t="str">
        <f>'Class List'!A8</f>
        <v>Student</v>
      </c>
      <c r="B8" s="201">
        <v>0</v>
      </c>
      <c r="C8" s="202">
        <v>0</v>
      </c>
      <c r="D8" s="202">
        <v>0</v>
      </c>
      <c r="E8" s="202">
        <v>0</v>
      </c>
      <c r="F8" s="202">
        <v>0</v>
      </c>
      <c r="G8" s="201">
        <v>0</v>
      </c>
      <c r="H8" s="201">
        <v>0</v>
      </c>
      <c r="I8" s="202">
        <v>0</v>
      </c>
      <c r="J8" s="197">
        <f>'Class List'!$C8</f>
        <v>10</v>
      </c>
      <c r="K8" s="194">
        <f t="shared" si="0"/>
        <v>0</v>
      </c>
      <c r="L8" s="195" t="str">
        <f t="shared" si="1"/>
        <v>Beginning</v>
      </c>
      <c r="M8" s="306"/>
      <c r="N8" s="308"/>
      <c r="O8" s="306"/>
      <c r="P8" s="306"/>
      <c r="Q8" s="306"/>
      <c r="R8" s="306"/>
      <c r="S8" s="306"/>
      <c r="T8" s="306"/>
      <c r="U8" s="307"/>
    </row>
    <row r="9" spans="1:21" ht="30" customHeight="1" x14ac:dyDescent="0.25">
      <c r="A9" s="198" t="str">
        <f>'Class List'!A9</f>
        <v>Student</v>
      </c>
      <c r="B9" s="201">
        <v>0</v>
      </c>
      <c r="C9" s="202">
        <v>0</v>
      </c>
      <c r="D9" s="202">
        <v>0</v>
      </c>
      <c r="E9" s="202">
        <v>0</v>
      </c>
      <c r="F9" s="202">
        <v>0</v>
      </c>
      <c r="G9" s="201">
        <v>0</v>
      </c>
      <c r="H9" s="201">
        <v>0</v>
      </c>
      <c r="I9" s="202">
        <v>0</v>
      </c>
      <c r="J9" s="197">
        <f>'Class List'!$C9</f>
        <v>10</v>
      </c>
      <c r="K9" s="194">
        <f t="shared" si="0"/>
        <v>0</v>
      </c>
      <c r="L9" s="195" t="str">
        <f t="shared" si="1"/>
        <v>Beginning</v>
      </c>
      <c r="M9" s="306"/>
      <c r="N9" s="308"/>
      <c r="O9" s="306"/>
      <c r="P9" s="306"/>
      <c r="Q9" s="306"/>
      <c r="R9" s="306"/>
      <c r="S9" s="306"/>
      <c r="T9" s="306"/>
      <c r="U9" s="307"/>
    </row>
    <row r="10" spans="1:21" ht="30" customHeight="1" x14ac:dyDescent="0.25">
      <c r="A10" s="198" t="str">
        <f>'Class List'!A10</f>
        <v>Student</v>
      </c>
      <c r="B10" s="201">
        <v>0</v>
      </c>
      <c r="C10" s="202">
        <v>0</v>
      </c>
      <c r="D10" s="202">
        <v>0</v>
      </c>
      <c r="E10" s="202">
        <v>0</v>
      </c>
      <c r="F10" s="202">
        <v>0</v>
      </c>
      <c r="G10" s="201">
        <v>0</v>
      </c>
      <c r="H10" s="201">
        <v>0</v>
      </c>
      <c r="I10" s="202">
        <v>0</v>
      </c>
      <c r="J10" s="197">
        <f>'Class List'!$C10</f>
        <v>10</v>
      </c>
      <c r="K10" s="194">
        <f t="shared" si="0"/>
        <v>0</v>
      </c>
      <c r="L10" s="195" t="str">
        <f t="shared" si="1"/>
        <v>Beginning</v>
      </c>
      <c r="M10" s="306"/>
      <c r="N10" s="308"/>
      <c r="O10" s="306"/>
      <c r="P10" s="306"/>
      <c r="Q10" s="306"/>
      <c r="R10" s="306"/>
      <c r="S10" s="306"/>
      <c r="T10" s="306"/>
      <c r="U10" s="307"/>
    </row>
    <row r="11" spans="1:21" ht="30" customHeight="1" x14ac:dyDescent="0.25">
      <c r="A11" s="198" t="str">
        <f>'Class List'!A11</f>
        <v>Student</v>
      </c>
      <c r="B11" s="201">
        <v>0</v>
      </c>
      <c r="C11" s="202">
        <v>0</v>
      </c>
      <c r="D11" s="202">
        <v>0</v>
      </c>
      <c r="E11" s="202">
        <v>0</v>
      </c>
      <c r="F11" s="202">
        <v>0</v>
      </c>
      <c r="G11" s="201">
        <v>0</v>
      </c>
      <c r="H11" s="201">
        <v>0</v>
      </c>
      <c r="I11" s="202">
        <v>0</v>
      </c>
      <c r="J11" s="197">
        <f>'Class List'!$C11</f>
        <v>9</v>
      </c>
      <c r="K11" s="194">
        <f t="shared" si="0"/>
        <v>0</v>
      </c>
      <c r="L11" s="195" t="str">
        <f t="shared" si="1"/>
        <v>Beginning</v>
      </c>
      <c r="M11" s="306"/>
      <c r="N11" s="308"/>
      <c r="O11" s="306"/>
      <c r="P11" s="306"/>
      <c r="Q11" s="306"/>
      <c r="R11" s="306"/>
      <c r="S11" s="306"/>
      <c r="T11" s="306"/>
      <c r="U11" s="307"/>
    </row>
    <row r="12" spans="1:21" ht="30" customHeight="1" x14ac:dyDescent="0.25">
      <c r="A12" s="198" t="str">
        <f>'Class List'!A12</f>
        <v>Student</v>
      </c>
      <c r="B12" s="201">
        <v>0</v>
      </c>
      <c r="C12" s="202">
        <v>0</v>
      </c>
      <c r="D12" s="202">
        <v>0</v>
      </c>
      <c r="E12" s="202">
        <v>0</v>
      </c>
      <c r="F12" s="202">
        <v>0</v>
      </c>
      <c r="G12" s="201">
        <v>0</v>
      </c>
      <c r="H12" s="201">
        <v>0</v>
      </c>
      <c r="I12" s="202">
        <v>0</v>
      </c>
      <c r="J12" s="197">
        <f>'Class List'!$C12</f>
        <v>9</v>
      </c>
      <c r="K12" s="194">
        <f t="shared" si="0"/>
        <v>0</v>
      </c>
      <c r="L12" s="195" t="str">
        <f t="shared" si="1"/>
        <v>Beginning</v>
      </c>
      <c r="M12" s="306"/>
      <c r="N12" s="308"/>
      <c r="O12" s="306"/>
      <c r="P12" s="306"/>
      <c r="Q12" s="306"/>
      <c r="R12" s="306"/>
      <c r="S12" s="306"/>
      <c r="T12" s="306"/>
      <c r="U12" s="307"/>
    </row>
    <row r="13" spans="1:21" ht="30" customHeight="1" x14ac:dyDescent="0.25">
      <c r="A13" s="198" t="str">
        <f>'Class List'!A13</f>
        <v>Student</v>
      </c>
      <c r="B13" s="201">
        <v>0</v>
      </c>
      <c r="C13" s="202">
        <v>0</v>
      </c>
      <c r="D13" s="202">
        <v>0</v>
      </c>
      <c r="E13" s="202">
        <v>0</v>
      </c>
      <c r="F13" s="202">
        <v>0</v>
      </c>
      <c r="G13" s="201">
        <v>0</v>
      </c>
      <c r="H13" s="201">
        <v>0</v>
      </c>
      <c r="I13" s="202">
        <v>0</v>
      </c>
      <c r="J13" s="197">
        <f>'Class List'!$C13</f>
        <v>9</v>
      </c>
      <c r="K13" s="194">
        <f t="shared" si="0"/>
        <v>0</v>
      </c>
      <c r="L13" s="195" t="str">
        <f t="shared" si="1"/>
        <v>Beginning</v>
      </c>
      <c r="M13" s="306"/>
      <c r="N13" s="308"/>
      <c r="O13" s="306"/>
      <c r="P13" s="306"/>
      <c r="Q13" s="306"/>
      <c r="R13" s="306"/>
      <c r="S13" s="306"/>
      <c r="T13" s="306"/>
      <c r="U13" s="307"/>
    </row>
    <row r="14" spans="1:21" ht="30" customHeight="1" x14ac:dyDescent="0.25">
      <c r="A14" s="198" t="str">
        <f>'Class List'!A14</f>
        <v>Student</v>
      </c>
      <c r="B14" s="201">
        <v>0</v>
      </c>
      <c r="C14" s="202">
        <v>0</v>
      </c>
      <c r="D14" s="202">
        <v>0</v>
      </c>
      <c r="E14" s="202">
        <v>0</v>
      </c>
      <c r="F14" s="202">
        <v>0</v>
      </c>
      <c r="G14" s="201">
        <v>0</v>
      </c>
      <c r="H14" s="201">
        <v>0</v>
      </c>
      <c r="I14" s="202">
        <v>0</v>
      </c>
      <c r="J14" s="197">
        <f>'Class List'!$C14</f>
        <v>9</v>
      </c>
      <c r="K14" s="194">
        <f t="shared" si="0"/>
        <v>0</v>
      </c>
      <c r="L14" s="195" t="str">
        <f t="shared" si="1"/>
        <v>Beginning</v>
      </c>
      <c r="M14" s="306"/>
      <c r="N14" s="308"/>
      <c r="O14" s="306"/>
      <c r="P14" s="306"/>
      <c r="Q14" s="306"/>
      <c r="R14" s="306"/>
      <c r="S14" s="306"/>
      <c r="T14" s="306"/>
      <c r="U14" s="307"/>
    </row>
    <row r="15" spans="1:21" ht="30" customHeight="1" x14ac:dyDescent="0.25">
      <c r="A15" s="198" t="str">
        <f>'Class List'!A15</f>
        <v>Student</v>
      </c>
      <c r="B15" s="201">
        <v>0</v>
      </c>
      <c r="C15" s="202">
        <v>0</v>
      </c>
      <c r="D15" s="202">
        <v>0</v>
      </c>
      <c r="E15" s="202">
        <v>0</v>
      </c>
      <c r="F15" s="202">
        <v>0</v>
      </c>
      <c r="G15" s="201">
        <v>0</v>
      </c>
      <c r="H15" s="201">
        <v>0</v>
      </c>
      <c r="I15" s="202">
        <v>0</v>
      </c>
      <c r="J15" s="197">
        <f>'Class List'!$C15</f>
        <v>10</v>
      </c>
      <c r="K15" s="194">
        <f t="shared" si="0"/>
        <v>0</v>
      </c>
      <c r="L15" s="195" t="str">
        <f t="shared" si="1"/>
        <v>Beginning</v>
      </c>
      <c r="M15" s="306"/>
      <c r="N15" s="308"/>
      <c r="O15" s="306"/>
      <c r="P15" s="306"/>
      <c r="Q15" s="306"/>
      <c r="R15" s="306"/>
      <c r="S15" s="306"/>
      <c r="T15" s="306"/>
      <c r="U15" s="307"/>
    </row>
    <row r="16" spans="1:21" ht="30" customHeight="1" x14ac:dyDescent="0.25">
      <c r="A16" s="198" t="str">
        <f>'Class List'!A16</f>
        <v>Student</v>
      </c>
      <c r="B16" s="201">
        <v>0</v>
      </c>
      <c r="C16" s="202">
        <v>0</v>
      </c>
      <c r="D16" s="202">
        <v>0</v>
      </c>
      <c r="E16" s="202">
        <v>0</v>
      </c>
      <c r="F16" s="202">
        <v>0</v>
      </c>
      <c r="G16" s="201">
        <v>0</v>
      </c>
      <c r="H16" s="201">
        <v>0</v>
      </c>
      <c r="I16" s="202">
        <v>0</v>
      </c>
      <c r="J16" s="197">
        <f>'Class List'!$C16</f>
        <v>9</v>
      </c>
      <c r="K16" s="194">
        <f t="shared" si="0"/>
        <v>0</v>
      </c>
      <c r="L16" s="195" t="str">
        <f t="shared" si="1"/>
        <v>Beginning</v>
      </c>
      <c r="M16" s="306"/>
      <c r="N16" s="308"/>
      <c r="O16" s="306"/>
      <c r="P16" s="306"/>
      <c r="Q16" s="306"/>
      <c r="R16" s="306"/>
      <c r="S16" s="306"/>
      <c r="T16" s="306"/>
      <c r="U16" s="307"/>
    </row>
    <row r="17" spans="1:21" ht="30" customHeight="1" x14ac:dyDescent="0.25">
      <c r="A17" s="198" t="str">
        <f>'Class List'!A17</f>
        <v>Student</v>
      </c>
      <c r="B17" s="201">
        <v>0</v>
      </c>
      <c r="C17" s="202">
        <v>0</v>
      </c>
      <c r="D17" s="202">
        <v>0</v>
      </c>
      <c r="E17" s="202">
        <v>0</v>
      </c>
      <c r="F17" s="202">
        <v>0</v>
      </c>
      <c r="G17" s="201">
        <v>0</v>
      </c>
      <c r="H17" s="201">
        <v>0</v>
      </c>
      <c r="I17" s="202">
        <v>0</v>
      </c>
      <c r="J17" s="197">
        <f>'Class List'!$C17</f>
        <v>9</v>
      </c>
      <c r="K17" s="194">
        <f t="shared" si="0"/>
        <v>0</v>
      </c>
      <c r="L17" s="195" t="str">
        <f t="shared" si="1"/>
        <v>Beginning</v>
      </c>
      <c r="M17" s="306"/>
      <c r="N17" s="308"/>
      <c r="O17" s="306"/>
      <c r="P17" s="306"/>
      <c r="Q17" s="306"/>
      <c r="R17" s="306"/>
      <c r="S17" s="306"/>
      <c r="T17" s="306"/>
      <c r="U17" s="307"/>
    </row>
    <row r="18" spans="1:21" ht="30" customHeight="1" x14ac:dyDescent="0.25">
      <c r="A18" s="198" t="str">
        <f>'Class List'!A18</f>
        <v>Student</v>
      </c>
      <c r="B18" s="201">
        <v>0</v>
      </c>
      <c r="C18" s="202">
        <v>0</v>
      </c>
      <c r="D18" s="202">
        <v>0</v>
      </c>
      <c r="E18" s="202">
        <v>0</v>
      </c>
      <c r="F18" s="202">
        <v>0</v>
      </c>
      <c r="G18" s="201">
        <v>0</v>
      </c>
      <c r="H18" s="201">
        <v>0</v>
      </c>
      <c r="I18" s="202">
        <v>0</v>
      </c>
      <c r="J18" s="197">
        <f>'Class List'!$C18</f>
        <v>10</v>
      </c>
      <c r="K18" s="194">
        <f t="shared" si="0"/>
        <v>0</v>
      </c>
      <c r="L18" s="195" t="str">
        <f t="shared" si="1"/>
        <v>Beginning</v>
      </c>
      <c r="M18" s="306"/>
      <c r="N18" s="308"/>
      <c r="O18" s="306"/>
      <c r="P18" s="306"/>
      <c r="Q18" s="306"/>
      <c r="R18" s="306"/>
      <c r="S18" s="306"/>
      <c r="T18" s="306"/>
      <c r="U18" s="307"/>
    </row>
    <row r="19" spans="1:21" ht="30" customHeight="1" x14ac:dyDescent="0.25">
      <c r="A19" s="198" t="str">
        <f>'Class List'!A19</f>
        <v>Student</v>
      </c>
      <c r="B19" s="201">
        <v>0</v>
      </c>
      <c r="C19" s="202">
        <v>0</v>
      </c>
      <c r="D19" s="202">
        <v>0</v>
      </c>
      <c r="E19" s="202">
        <v>0</v>
      </c>
      <c r="F19" s="202">
        <v>0</v>
      </c>
      <c r="G19" s="201">
        <v>0</v>
      </c>
      <c r="H19" s="201">
        <v>0</v>
      </c>
      <c r="I19" s="202">
        <v>0</v>
      </c>
      <c r="J19" s="197">
        <f>'Class List'!$C19</f>
        <v>10</v>
      </c>
      <c r="K19" s="194">
        <f t="shared" si="0"/>
        <v>0</v>
      </c>
      <c r="L19" s="195" t="str">
        <f t="shared" si="1"/>
        <v>Beginning</v>
      </c>
      <c r="M19" s="306"/>
      <c r="N19" s="308"/>
      <c r="O19" s="306"/>
      <c r="P19" s="306"/>
      <c r="Q19" s="306"/>
      <c r="R19" s="306"/>
      <c r="S19" s="306"/>
      <c r="T19" s="306"/>
      <c r="U19" s="307"/>
    </row>
    <row r="20" spans="1:21" ht="30" customHeight="1" x14ac:dyDescent="0.25">
      <c r="A20" s="198" t="str">
        <f>'Class List'!A20</f>
        <v>Student</v>
      </c>
      <c r="B20" s="201">
        <v>0</v>
      </c>
      <c r="C20" s="202">
        <v>0</v>
      </c>
      <c r="D20" s="202">
        <v>0</v>
      </c>
      <c r="E20" s="202">
        <v>0</v>
      </c>
      <c r="F20" s="202">
        <v>0</v>
      </c>
      <c r="G20" s="201">
        <v>0</v>
      </c>
      <c r="H20" s="201">
        <v>0</v>
      </c>
      <c r="I20" s="202">
        <v>0</v>
      </c>
      <c r="J20" s="197">
        <f>'Class List'!$C20</f>
        <v>10</v>
      </c>
      <c r="K20" s="194">
        <f t="shared" si="0"/>
        <v>0</v>
      </c>
      <c r="L20" s="195" t="str">
        <f t="shared" si="1"/>
        <v>Beginning</v>
      </c>
      <c r="M20" s="306"/>
      <c r="N20" s="308"/>
      <c r="O20" s="306"/>
      <c r="P20" s="306"/>
      <c r="Q20" s="306"/>
      <c r="R20" s="306"/>
      <c r="S20" s="306"/>
      <c r="T20" s="306"/>
      <c r="U20" s="307"/>
    </row>
    <row r="21" spans="1:21" ht="30" customHeight="1" x14ac:dyDescent="0.25">
      <c r="A21" s="198" t="str">
        <f>'Class List'!A21</f>
        <v>Student</v>
      </c>
      <c r="B21" s="201">
        <v>0</v>
      </c>
      <c r="C21" s="202">
        <v>0</v>
      </c>
      <c r="D21" s="202">
        <v>0</v>
      </c>
      <c r="E21" s="202">
        <v>0</v>
      </c>
      <c r="F21" s="202">
        <v>0</v>
      </c>
      <c r="G21" s="201">
        <v>0</v>
      </c>
      <c r="H21" s="201">
        <v>0</v>
      </c>
      <c r="I21" s="202">
        <v>0</v>
      </c>
      <c r="J21" s="197">
        <f>'Class List'!$C21</f>
        <v>9</v>
      </c>
      <c r="K21" s="194">
        <f t="shared" si="0"/>
        <v>0</v>
      </c>
      <c r="L21" s="195" t="str">
        <f t="shared" si="1"/>
        <v>Beginning</v>
      </c>
      <c r="M21" s="306"/>
      <c r="N21" s="308"/>
      <c r="O21" s="306"/>
      <c r="P21" s="306"/>
      <c r="Q21" s="306"/>
      <c r="R21" s="306"/>
      <c r="S21" s="306"/>
      <c r="T21" s="306"/>
      <c r="U21" s="307"/>
    </row>
    <row r="22" spans="1:21" ht="30" customHeight="1" x14ac:dyDescent="0.25">
      <c r="A22" s="198" t="str">
        <f>'Class List'!A22</f>
        <v>Student</v>
      </c>
      <c r="B22" s="201">
        <v>0</v>
      </c>
      <c r="C22" s="202">
        <v>0</v>
      </c>
      <c r="D22" s="202">
        <v>0</v>
      </c>
      <c r="E22" s="202">
        <v>0</v>
      </c>
      <c r="F22" s="202">
        <v>0</v>
      </c>
      <c r="G22" s="201">
        <v>0</v>
      </c>
      <c r="H22" s="201">
        <v>0</v>
      </c>
      <c r="I22" s="202">
        <v>0</v>
      </c>
      <c r="J22" s="197">
        <f>'Class List'!$C22</f>
        <v>10</v>
      </c>
      <c r="K22" s="194">
        <f t="shared" si="0"/>
        <v>0</v>
      </c>
      <c r="L22" s="195" t="str">
        <f t="shared" si="1"/>
        <v>Beginning</v>
      </c>
      <c r="M22" s="306"/>
      <c r="N22" s="308"/>
      <c r="O22" s="306"/>
      <c r="P22" s="306"/>
      <c r="Q22" s="306"/>
      <c r="R22" s="306"/>
      <c r="S22" s="306"/>
      <c r="T22" s="306"/>
      <c r="U22" s="307"/>
    </row>
    <row r="23" spans="1:21" ht="30" customHeight="1" x14ac:dyDescent="0.25">
      <c r="A23" s="198" t="str">
        <f>'Class List'!A23</f>
        <v>Student</v>
      </c>
      <c r="B23" s="201">
        <v>0</v>
      </c>
      <c r="C23" s="202">
        <v>0</v>
      </c>
      <c r="D23" s="202">
        <v>0</v>
      </c>
      <c r="E23" s="202">
        <v>0</v>
      </c>
      <c r="F23" s="202">
        <v>0</v>
      </c>
      <c r="G23" s="201">
        <v>0</v>
      </c>
      <c r="H23" s="201">
        <v>0</v>
      </c>
      <c r="I23" s="202">
        <v>0</v>
      </c>
      <c r="J23" s="197">
        <f>'Class List'!$C23</f>
        <v>10</v>
      </c>
      <c r="K23" s="194">
        <f t="shared" si="0"/>
        <v>0</v>
      </c>
      <c r="L23" s="195" t="str">
        <f t="shared" si="1"/>
        <v>Beginning</v>
      </c>
      <c r="M23" s="306"/>
      <c r="N23" s="308"/>
      <c r="O23" s="306"/>
      <c r="P23" s="306"/>
      <c r="Q23" s="306"/>
      <c r="R23" s="306"/>
      <c r="S23" s="306"/>
      <c r="T23" s="306"/>
      <c r="U23" s="307"/>
    </row>
    <row r="24" spans="1:21" ht="30" customHeight="1" x14ac:dyDescent="0.25">
      <c r="A24" s="198" t="str">
        <f>'Class List'!A24</f>
        <v>Student</v>
      </c>
      <c r="B24" s="201">
        <v>0</v>
      </c>
      <c r="C24" s="202">
        <v>0</v>
      </c>
      <c r="D24" s="202">
        <v>0</v>
      </c>
      <c r="E24" s="202">
        <v>0</v>
      </c>
      <c r="F24" s="202">
        <v>0</v>
      </c>
      <c r="G24" s="201">
        <v>0</v>
      </c>
      <c r="H24" s="201">
        <v>0</v>
      </c>
      <c r="I24" s="202">
        <v>0</v>
      </c>
      <c r="J24" s="197">
        <f>'Class List'!$C24</f>
        <v>9</v>
      </c>
      <c r="K24" s="194">
        <f t="shared" si="0"/>
        <v>0</v>
      </c>
      <c r="L24" s="195" t="str">
        <f t="shared" si="1"/>
        <v>Beginning</v>
      </c>
      <c r="M24" s="306"/>
      <c r="N24" s="308"/>
      <c r="O24" s="306"/>
      <c r="P24" s="306"/>
      <c r="Q24" s="306"/>
      <c r="R24" s="306"/>
      <c r="S24" s="306"/>
      <c r="T24" s="306"/>
      <c r="U24" s="307"/>
    </row>
    <row r="25" spans="1:21" ht="30" customHeight="1" x14ac:dyDescent="0.25">
      <c r="A25" s="198" t="str">
        <f>'Class List'!A25</f>
        <v>Student</v>
      </c>
      <c r="B25" s="201">
        <v>0</v>
      </c>
      <c r="C25" s="202">
        <v>0</v>
      </c>
      <c r="D25" s="202">
        <v>0</v>
      </c>
      <c r="E25" s="202">
        <v>0</v>
      </c>
      <c r="F25" s="202">
        <v>0</v>
      </c>
      <c r="G25" s="201">
        <v>0</v>
      </c>
      <c r="H25" s="201">
        <v>0</v>
      </c>
      <c r="I25" s="202">
        <v>0</v>
      </c>
      <c r="J25" s="197">
        <f>'Class List'!$C25</f>
        <v>10</v>
      </c>
      <c r="K25" s="194">
        <f t="shared" si="0"/>
        <v>0</v>
      </c>
      <c r="L25" s="195" t="str">
        <f t="shared" si="1"/>
        <v>Beginning</v>
      </c>
      <c r="M25" s="306"/>
      <c r="N25" s="308"/>
      <c r="O25" s="306"/>
      <c r="P25" s="306"/>
      <c r="Q25" s="306"/>
      <c r="R25" s="306"/>
      <c r="S25" s="306"/>
      <c r="T25" s="306"/>
      <c r="U25" s="307"/>
    </row>
    <row r="26" spans="1:21" ht="30" customHeight="1" x14ac:dyDescent="0.25">
      <c r="A26" s="198" t="str">
        <f>'Class List'!A26</f>
        <v>Student</v>
      </c>
      <c r="B26" s="201">
        <v>0</v>
      </c>
      <c r="C26" s="202">
        <v>0</v>
      </c>
      <c r="D26" s="202">
        <v>0</v>
      </c>
      <c r="E26" s="202">
        <v>0</v>
      </c>
      <c r="F26" s="202">
        <v>0</v>
      </c>
      <c r="G26" s="201">
        <v>0</v>
      </c>
      <c r="H26" s="201">
        <v>0</v>
      </c>
      <c r="I26" s="202">
        <v>0</v>
      </c>
      <c r="J26" s="197">
        <f>'Class List'!$C26</f>
        <v>10</v>
      </c>
      <c r="K26" s="194">
        <f t="shared" si="0"/>
        <v>0</v>
      </c>
      <c r="L26" s="195" t="str">
        <f t="shared" si="1"/>
        <v>Beginning</v>
      </c>
      <c r="M26" s="306"/>
      <c r="N26" s="308"/>
      <c r="O26" s="306"/>
      <c r="P26" s="306"/>
      <c r="Q26" s="306"/>
      <c r="R26" s="306"/>
      <c r="S26" s="306"/>
      <c r="T26" s="306"/>
      <c r="U26" s="307"/>
    </row>
    <row r="27" spans="1:21" ht="30" customHeight="1" x14ac:dyDescent="0.25">
      <c r="A27" s="198" t="str">
        <f>'Class List'!A27</f>
        <v>Student</v>
      </c>
      <c r="B27" s="201">
        <v>0</v>
      </c>
      <c r="C27" s="202">
        <v>0</v>
      </c>
      <c r="D27" s="202">
        <v>0</v>
      </c>
      <c r="E27" s="202">
        <v>0</v>
      </c>
      <c r="F27" s="202">
        <v>0</v>
      </c>
      <c r="G27" s="201">
        <v>0</v>
      </c>
      <c r="H27" s="201">
        <v>0</v>
      </c>
      <c r="I27" s="202">
        <v>0</v>
      </c>
      <c r="J27" s="197">
        <f>'Class List'!$C27</f>
        <v>9</v>
      </c>
      <c r="K27" s="194">
        <f t="shared" si="0"/>
        <v>0</v>
      </c>
      <c r="L27" s="195" t="str">
        <f t="shared" si="1"/>
        <v>Beginning</v>
      </c>
      <c r="M27" s="306"/>
      <c r="N27" s="308"/>
      <c r="O27" s="306"/>
      <c r="P27" s="306"/>
      <c r="Q27" s="306"/>
      <c r="R27" s="306"/>
      <c r="S27" s="306"/>
      <c r="T27" s="306"/>
      <c r="U27" s="307"/>
    </row>
    <row r="28" spans="1:21" ht="30" customHeight="1" x14ac:dyDescent="0.25">
      <c r="A28" s="198" t="str">
        <f>'Class List'!A28</f>
        <v>Student</v>
      </c>
      <c r="B28" s="201">
        <v>0</v>
      </c>
      <c r="C28" s="202">
        <v>0</v>
      </c>
      <c r="D28" s="202">
        <v>0</v>
      </c>
      <c r="E28" s="202">
        <v>0</v>
      </c>
      <c r="F28" s="202">
        <v>0</v>
      </c>
      <c r="G28" s="201">
        <v>0</v>
      </c>
      <c r="H28" s="201">
        <v>0</v>
      </c>
      <c r="I28" s="202">
        <v>0</v>
      </c>
      <c r="J28" s="197">
        <f>'Class List'!$C28</f>
        <v>9</v>
      </c>
      <c r="K28" s="194">
        <f t="shared" si="0"/>
        <v>0</v>
      </c>
      <c r="L28" s="195" t="str">
        <f t="shared" si="1"/>
        <v>Beginning</v>
      </c>
      <c r="M28" s="306"/>
      <c r="N28" s="308"/>
      <c r="O28" s="306"/>
      <c r="P28" s="306"/>
      <c r="Q28" s="306"/>
      <c r="R28" s="306"/>
      <c r="S28" s="306"/>
      <c r="T28" s="306"/>
      <c r="U28" s="307"/>
    </row>
    <row r="29" spans="1:21" ht="30" customHeight="1" x14ac:dyDescent="0.25">
      <c r="A29" s="198" t="str">
        <f>'Class List'!A29</f>
        <v>Student</v>
      </c>
      <c r="B29" s="201">
        <v>0</v>
      </c>
      <c r="C29" s="202">
        <v>0</v>
      </c>
      <c r="D29" s="202">
        <v>0</v>
      </c>
      <c r="E29" s="202">
        <v>0</v>
      </c>
      <c r="F29" s="202">
        <v>0</v>
      </c>
      <c r="G29" s="201">
        <v>0</v>
      </c>
      <c r="H29" s="201">
        <v>0</v>
      </c>
      <c r="I29" s="202">
        <v>0</v>
      </c>
      <c r="J29" s="197">
        <f>'Class List'!$C29</f>
        <v>9</v>
      </c>
      <c r="K29" s="194">
        <f t="shared" si="0"/>
        <v>0</v>
      </c>
      <c r="L29" s="195" t="str">
        <f t="shared" si="1"/>
        <v>Beginning</v>
      </c>
      <c r="M29" s="306"/>
      <c r="N29" s="308"/>
      <c r="O29" s="306"/>
      <c r="P29" s="306"/>
      <c r="Q29" s="306"/>
      <c r="R29" s="306"/>
      <c r="S29" s="306"/>
      <c r="T29" s="306"/>
      <c r="U29" s="307"/>
    </row>
    <row r="30" spans="1:21" ht="30" customHeight="1" x14ac:dyDescent="0.25">
      <c r="A30" s="198" t="str">
        <f>'Class List'!A30</f>
        <v>Student</v>
      </c>
      <c r="B30" s="201">
        <v>0</v>
      </c>
      <c r="C30" s="202">
        <v>0</v>
      </c>
      <c r="D30" s="202">
        <v>0</v>
      </c>
      <c r="E30" s="202">
        <v>0</v>
      </c>
      <c r="F30" s="202">
        <v>0</v>
      </c>
      <c r="G30" s="201">
        <v>0</v>
      </c>
      <c r="H30" s="201">
        <v>0</v>
      </c>
      <c r="I30" s="202">
        <v>0</v>
      </c>
      <c r="J30" s="197">
        <f>'Class List'!$C30</f>
        <v>9</v>
      </c>
      <c r="K30" s="194">
        <f t="shared" si="0"/>
        <v>0</v>
      </c>
      <c r="L30" s="195" t="str">
        <f t="shared" si="1"/>
        <v>Beginning</v>
      </c>
      <c r="M30" s="306"/>
      <c r="N30" s="308"/>
      <c r="O30" s="306"/>
      <c r="P30" s="306"/>
      <c r="Q30" s="306"/>
      <c r="R30" s="306"/>
      <c r="S30" s="306"/>
      <c r="T30" s="306"/>
      <c r="U30" s="307"/>
    </row>
    <row r="31" spans="1:21" ht="30" customHeight="1" x14ac:dyDescent="0.25">
      <c r="A31" s="198">
        <f>'Class List'!A31</f>
        <v>0</v>
      </c>
      <c r="B31" s="201">
        <v>0</v>
      </c>
      <c r="C31" s="202">
        <v>0</v>
      </c>
      <c r="D31" s="202">
        <v>0</v>
      </c>
      <c r="E31" s="202">
        <v>0</v>
      </c>
      <c r="F31" s="202">
        <v>0</v>
      </c>
      <c r="G31" s="201">
        <v>0</v>
      </c>
      <c r="H31" s="201">
        <v>0</v>
      </c>
      <c r="I31" s="202">
        <v>0</v>
      </c>
      <c r="J31" s="197">
        <f>'Class List'!$C31</f>
        <v>0</v>
      </c>
      <c r="K31" s="194">
        <f t="shared" si="0"/>
        <v>0</v>
      </c>
      <c r="L31" s="195" t="str">
        <f t="shared" si="1"/>
        <v>Age Not Found</v>
      </c>
      <c r="M31" s="306"/>
      <c r="N31" s="308"/>
      <c r="O31" s="306"/>
      <c r="P31" s="306"/>
      <c r="Q31" s="306"/>
      <c r="R31" s="306"/>
      <c r="S31" s="306"/>
      <c r="T31" s="306"/>
      <c r="U31" s="307"/>
    </row>
    <row r="32" spans="1:21" ht="30" customHeight="1" x14ac:dyDescent="0.25">
      <c r="A32" s="198">
        <f>'Class List'!A32</f>
        <v>0</v>
      </c>
      <c r="B32" s="201">
        <v>0</v>
      </c>
      <c r="C32" s="202">
        <v>0</v>
      </c>
      <c r="D32" s="202">
        <v>0</v>
      </c>
      <c r="E32" s="202">
        <v>0</v>
      </c>
      <c r="F32" s="202">
        <v>0</v>
      </c>
      <c r="G32" s="201">
        <v>0</v>
      </c>
      <c r="H32" s="201">
        <v>0</v>
      </c>
      <c r="I32" s="202">
        <v>0</v>
      </c>
      <c r="J32" s="197">
        <f>'Class List'!$C32</f>
        <v>0</v>
      </c>
      <c r="K32" s="194">
        <f t="shared" si="0"/>
        <v>0</v>
      </c>
      <c r="L32" s="195" t="str">
        <f t="shared" si="1"/>
        <v>Age Not Found</v>
      </c>
      <c r="M32" s="306"/>
      <c r="N32" s="308"/>
      <c r="O32" s="306"/>
      <c r="P32" s="306"/>
      <c r="Q32" s="306"/>
      <c r="R32" s="306"/>
      <c r="S32" s="306"/>
      <c r="T32" s="306"/>
      <c r="U32" s="307"/>
    </row>
    <row r="33" spans="1:21" ht="30" customHeight="1" x14ac:dyDescent="0.25">
      <c r="A33" s="198">
        <f>'Class List'!A33</f>
        <v>0</v>
      </c>
      <c r="B33" s="201">
        <v>0</v>
      </c>
      <c r="C33" s="202">
        <v>0</v>
      </c>
      <c r="D33" s="202">
        <v>0</v>
      </c>
      <c r="E33" s="202">
        <v>0</v>
      </c>
      <c r="F33" s="202">
        <v>0</v>
      </c>
      <c r="G33" s="201">
        <v>0</v>
      </c>
      <c r="H33" s="201">
        <v>0</v>
      </c>
      <c r="I33" s="202">
        <v>0</v>
      </c>
      <c r="J33" s="197">
        <f>'Class List'!$C33</f>
        <v>0</v>
      </c>
      <c r="K33" s="194">
        <f t="shared" si="0"/>
        <v>0</v>
      </c>
      <c r="L33" s="195" t="str">
        <f t="shared" si="1"/>
        <v>Age Not Found</v>
      </c>
      <c r="M33" s="306"/>
      <c r="N33" s="308"/>
      <c r="O33" s="306"/>
      <c r="P33" s="306"/>
      <c r="Q33" s="306"/>
      <c r="R33" s="306"/>
      <c r="S33" s="306"/>
      <c r="T33" s="306"/>
      <c r="U33" s="307"/>
    </row>
    <row r="34" spans="1:21" ht="30" customHeight="1" thickBot="1" x14ac:dyDescent="0.3">
      <c r="A34" s="198">
        <f>'Class List'!A34</f>
        <v>0</v>
      </c>
      <c r="B34" s="203">
        <v>0</v>
      </c>
      <c r="C34" s="204">
        <v>0</v>
      </c>
      <c r="D34" s="204">
        <v>0</v>
      </c>
      <c r="E34" s="204">
        <v>0</v>
      </c>
      <c r="F34" s="204">
        <v>0</v>
      </c>
      <c r="G34" s="203">
        <v>0</v>
      </c>
      <c r="H34" s="203">
        <v>0</v>
      </c>
      <c r="I34" s="204">
        <v>0</v>
      </c>
      <c r="J34" s="197">
        <f>'Class List'!$C34</f>
        <v>0</v>
      </c>
      <c r="K34" s="194">
        <f t="shared" si="0"/>
        <v>0</v>
      </c>
      <c r="L34" s="195" t="str">
        <f t="shared" si="1"/>
        <v>Age Not Found</v>
      </c>
      <c r="M34" s="306"/>
      <c r="N34" s="308"/>
      <c r="O34" s="306"/>
      <c r="P34" s="306"/>
      <c r="Q34" s="306"/>
      <c r="R34" s="306"/>
      <c r="S34" s="306"/>
      <c r="T34" s="306"/>
      <c r="U34" s="307"/>
    </row>
    <row r="35" spans="1:21" ht="14.1" customHeight="1" thickTop="1" thickBot="1" x14ac:dyDescent="0.3">
      <c r="A35" s="191" t="s">
        <v>34</v>
      </c>
      <c r="B35" s="192">
        <f t="shared" ref="B35:I35" si="2">SUM(B5:B34)</f>
        <v>1</v>
      </c>
      <c r="C35" s="192">
        <f t="shared" si="2"/>
        <v>1</v>
      </c>
      <c r="D35" s="192">
        <f t="shared" si="2"/>
        <v>1</v>
      </c>
      <c r="E35" s="192">
        <f t="shared" si="2"/>
        <v>1</v>
      </c>
      <c r="F35" s="192">
        <f t="shared" si="2"/>
        <v>1</v>
      </c>
      <c r="G35" s="192">
        <f t="shared" si="2"/>
        <v>1</v>
      </c>
      <c r="H35" s="192">
        <f t="shared" si="2"/>
        <v>0</v>
      </c>
      <c r="I35" s="192">
        <f t="shared" si="2"/>
        <v>0</v>
      </c>
      <c r="J35" s="192"/>
      <c r="K35" s="192"/>
      <c r="L35" s="193"/>
      <c r="M35" s="306"/>
      <c r="N35" s="308"/>
      <c r="O35" s="306"/>
      <c r="P35" s="306"/>
      <c r="Q35" s="306"/>
      <c r="R35" s="306"/>
      <c r="S35" s="306"/>
      <c r="T35" s="306"/>
      <c r="U35" s="307"/>
    </row>
    <row r="36" spans="1:21" ht="16.05" customHeight="1" thickTop="1" x14ac:dyDescent="0.3">
      <c r="A36" s="327" t="s">
        <v>35</v>
      </c>
      <c r="B36" s="328"/>
      <c r="C36" s="328"/>
      <c r="D36" s="328"/>
      <c r="E36" s="329"/>
      <c r="F36" s="306"/>
      <c r="G36" s="306"/>
      <c r="H36" s="306"/>
      <c r="I36" s="306"/>
      <c r="K36" s="340"/>
      <c r="L36" s="306"/>
      <c r="M36" s="306"/>
      <c r="N36" s="308"/>
      <c r="O36" s="306"/>
      <c r="P36" s="306"/>
      <c r="Q36" s="306"/>
      <c r="R36" s="306"/>
      <c r="S36" s="306"/>
      <c r="T36" s="306"/>
      <c r="U36" s="307"/>
    </row>
    <row r="37" spans="1:21" ht="13.05" customHeight="1" x14ac:dyDescent="0.25">
      <c r="A37" s="324"/>
      <c r="B37" s="325"/>
      <c r="C37" s="325"/>
      <c r="D37" s="325"/>
      <c r="E37" s="326"/>
      <c r="F37" s="306"/>
      <c r="G37" s="306"/>
      <c r="H37" s="306"/>
      <c r="I37" s="306"/>
      <c r="K37" s="306"/>
      <c r="L37" s="306"/>
      <c r="M37" s="306"/>
      <c r="N37" s="308"/>
      <c r="O37" s="306"/>
      <c r="P37" s="306"/>
      <c r="Q37" s="306"/>
      <c r="R37" s="306"/>
      <c r="S37" s="306"/>
      <c r="T37" s="306"/>
      <c r="U37" s="307"/>
    </row>
    <row r="38" spans="1:21" ht="13.05" customHeight="1" x14ac:dyDescent="0.25">
      <c r="A38" s="5" t="s">
        <v>5</v>
      </c>
      <c r="B38" s="6" t="s">
        <v>37</v>
      </c>
      <c r="C38" s="6" t="s">
        <v>38</v>
      </c>
      <c r="D38" s="6" t="s">
        <v>39</v>
      </c>
      <c r="E38" s="7" t="s">
        <v>40</v>
      </c>
      <c r="F38" s="306"/>
      <c r="G38" s="306"/>
      <c r="H38" s="306"/>
      <c r="I38" s="306"/>
      <c r="K38" s="8" t="s">
        <v>41</v>
      </c>
      <c r="L38" s="9"/>
      <c r="M38" s="306"/>
      <c r="N38" s="308"/>
      <c r="O38" s="306"/>
      <c r="P38" s="306"/>
      <c r="Q38" s="306"/>
      <c r="R38" s="306"/>
      <c r="S38" s="306"/>
      <c r="T38" s="306"/>
      <c r="U38" s="307"/>
    </row>
    <row r="39" spans="1:21" ht="12.6" customHeight="1" x14ac:dyDescent="0.25">
      <c r="A39" s="32">
        <v>5</v>
      </c>
      <c r="B39" s="10">
        <v>0</v>
      </c>
      <c r="C39" s="10">
        <v>0</v>
      </c>
      <c r="D39" s="10">
        <v>1</v>
      </c>
      <c r="E39" s="11">
        <v>2</v>
      </c>
      <c r="F39" s="306"/>
      <c r="G39" s="306"/>
      <c r="H39" s="306"/>
      <c r="I39" s="306"/>
      <c r="K39" s="12" t="s">
        <v>42</v>
      </c>
      <c r="L39" s="13">
        <f>COUNTIF(L$5:L$34, "Beginning")</f>
        <v>26</v>
      </c>
      <c r="M39" s="306"/>
      <c r="N39" s="308"/>
      <c r="O39" s="306"/>
      <c r="P39" s="306"/>
      <c r="Q39" s="306"/>
      <c r="R39" s="306"/>
      <c r="S39" s="306"/>
      <c r="T39" s="306"/>
      <c r="U39" s="307"/>
    </row>
    <row r="40" spans="1:21" ht="12.6" customHeight="1" x14ac:dyDescent="0.25">
      <c r="A40" s="32">
        <v>6</v>
      </c>
      <c r="B40" s="10">
        <v>1</v>
      </c>
      <c r="C40" s="10">
        <v>2</v>
      </c>
      <c r="D40" s="10">
        <v>3</v>
      </c>
      <c r="E40" s="11">
        <v>4</v>
      </c>
      <c r="F40" s="306"/>
      <c r="G40" s="306"/>
      <c r="H40" s="306"/>
      <c r="I40" s="306"/>
      <c r="K40" s="12" t="s">
        <v>38</v>
      </c>
      <c r="L40" s="13">
        <f>COUNTIF(L$5:L$34, "Progressing")</f>
        <v>0</v>
      </c>
      <c r="M40" s="306"/>
      <c r="N40" s="308"/>
      <c r="O40" s="306"/>
      <c r="P40" s="306"/>
      <c r="Q40" s="306"/>
      <c r="R40" s="306"/>
      <c r="S40" s="306"/>
      <c r="T40" s="306"/>
      <c r="U40" s="307"/>
    </row>
    <row r="41" spans="1:21" ht="12.6" customHeight="1" x14ac:dyDescent="0.25">
      <c r="A41" s="32">
        <v>7</v>
      </c>
      <c r="B41" s="10">
        <v>3</v>
      </c>
      <c r="C41" s="10">
        <v>4</v>
      </c>
      <c r="D41" s="10">
        <v>5</v>
      </c>
      <c r="E41" s="11">
        <v>6</v>
      </c>
      <c r="F41" s="306"/>
      <c r="G41" s="306"/>
      <c r="H41" s="306"/>
      <c r="I41" s="306"/>
      <c r="K41" s="12" t="s">
        <v>43</v>
      </c>
      <c r="L41" s="13">
        <f>COUNTIF(L$5:L$34, "Achieving")</f>
        <v>0</v>
      </c>
      <c r="M41" s="306"/>
      <c r="N41" s="308"/>
      <c r="O41" s="306"/>
      <c r="P41" s="306"/>
      <c r="Q41" s="306"/>
      <c r="R41" s="306"/>
      <c r="S41" s="306"/>
      <c r="T41" s="306"/>
      <c r="U41" s="307"/>
    </row>
    <row r="42" spans="1:21" ht="12.6" customHeight="1" x14ac:dyDescent="0.25">
      <c r="A42" s="32">
        <v>8</v>
      </c>
      <c r="B42" s="10">
        <v>6</v>
      </c>
      <c r="C42" s="10">
        <v>7</v>
      </c>
      <c r="D42" s="10">
        <v>8</v>
      </c>
      <c r="E42" s="11">
        <v>9</v>
      </c>
      <c r="F42" s="306"/>
      <c r="G42" s="306"/>
      <c r="H42" s="306"/>
      <c r="I42" s="306"/>
      <c r="K42" s="12" t="s">
        <v>40</v>
      </c>
      <c r="L42" s="13">
        <f>COUNTIF(L$5:L$34, "Excelling")</f>
        <v>0</v>
      </c>
      <c r="M42" s="306"/>
      <c r="N42" s="308"/>
      <c r="O42" s="306"/>
      <c r="P42" s="306"/>
      <c r="Q42" s="306"/>
      <c r="R42" s="306"/>
      <c r="S42" s="306"/>
      <c r="T42" s="306"/>
      <c r="U42" s="307"/>
    </row>
    <row r="43" spans="1:21" ht="12.6" customHeight="1" x14ac:dyDescent="0.25">
      <c r="A43" s="33">
        <v>9</v>
      </c>
      <c r="B43" s="10">
        <v>6</v>
      </c>
      <c r="C43" s="10">
        <v>7</v>
      </c>
      <c r="D43" s="10">
        <v>8</v>
      </c>
      <c r="E43" s="11">
        <v>9</v>
      </c>
      <c r="F43" s="306"/>
      <c r="G43" s="306"/>
      <c r="H43" s="306"/>
      <c r="I43" s="306"/>
      <c r="K43" s="306"/>
      <c r="L43" s="306"/>
      <c r="M43" s="306"/>
      <c r="N43" s="308"/>
      <c r="O43" s="306"/>
      <c r="P43" s="306"/>
      <c r="Q43" s="306"/>
      <c r="R43" s="306"/>
      <c r="S43" s="306"/>
      <c r="T43" s="306"/>
      <c r="U43" s="307"/>
    </row>
    <row r="44" spans="1:21" ht="12.6" customHeight="1" x14ac:dyDescent="0.25">
      <c r="A44" s="32">
        <v>10</v>
      </c>
      <c r="B44" s="10">
        <v>6</v>
      </c>
      <c r="C44" s="10">
        <v>7</v>
      </c>
      <c r="D44" s="10">
        <v>8</v>
      </c>
      <c r="E44" s="11">
        <v>9</v>
      </c>
      <c r="F44" s="306"/>
      <c r="G44" s="306"/>
      <c r="H44" s="306"/>
      <c r="I44" s="306"/>
      <c r="K44" s="306"/>
      <c r="L44" s="306"/>
      <c r="M44" s="306"/>
      <c r="N44" s="309"/>
      <c r="O44" s="310"/>
      <c r="P44" s="310"/>
      <c r="Q44" s="310"/>
      <c r="R44" s="310"/>
      <c r="S44" s="310"/>
      <c r="T44" s="310"/>
      <c r="U44" s="311"/>
    </row>
    <row r="45" spans="1:21" ht="12.6" customHeight="1" x14ac:dyDescent="0.25">
      <c r="A45" s="32">
        <v>11</v>
      </c>
      <c r="B45" s="10">
        <v>6</v>
      </c>
      <c r="C45" s="10">
        <v>7</v>
      </c>
      <c r="D45" s="10">
        <v>8</v>
      </c>
      <c r="E45" s="11">
        <v>9</v>
      </c>
      <c r="F45" s="306"/>
      <c r="G45" s="306"/>
      <c r="H45" s="306"/>
      <c r="I45" s="306"/>
      <c r="K45" s="306"/>
      <c r="L45" s="306"/>
      <c r="M45" s="306"/>
      <c r="N45" s="306"/>
      <c r="O45" s="306"/>
      <c r="P45" s="306"/>
      <c r="Q45" s="306"/>
      <c r="R45" s="306"/>
      <c r="S45" s="306"/>
      <c r="T45" s="306"/>
      <c r="U45" s="306"/>
    </row>
    <row r="46" spans="1:21" ht="12.6" customHeight="1" x14ac:dyDescent="0.25">
      <c r="A46" s="34">
        <v>12</v>
      </c>
      <c r="B46" s="14">
        <v>6</v>
      </c>
      <c r="C46" s="14">
        <v>7</v>
      </c>
      <c r="D46" s="14">
        <v>8</v>
      </c>
      <c r="E46" s="15">
        <v>9</v>
      </c>
      <c r="F46" s="306"/>
      <c r="G46" s="306"/>
      <c r="H46" s="306"/>
      <c r="I46" s="306"/>
      <c r="K46" s="306"/>
      <c r="L46" s="306"/>
      <c r="M46" s="306"/>
      <c r="N46" s="306"/>
      <c r="O46" s="306"/>
      <c r="P46" s="306"/>
      <c r="Q46" s="306"/>
      <c r="R46" s="306"/>
      <c r="S46" s="306"/>
      <c r="T46" s="306"/>
      <c r="U46" s="306"/>
    </row>
    <row r="48" spans="1:21"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5">
    <mergeCell ref="D2:G2"/>
    <mergeCell ref="H2:L2"/>
    <mergeCell ref="A1:L1"/>
    <mergeCell ref="M1:M46"/>
    <mergeCell ref="N1:U1"/>
    <mergeCell ref="N2:Q2"/>
    <mergeCell ref="N45:U46"/>
    <mergeCell ref="R2:U2"/>
    <mergeCell ref="N3:U44"/>
    <mergeCell ref="A36:E36"/>
    <mergeCell ref="F36:I46"/>
    <mergeCell ref="A37:E37"/>
    <mergeCell ref="K36:L37"/>
    <mergeCell ref="K43:L46"/>
    <mergeCell ref="A2:C2"/>
  </mergeCells>
  <conditionalFormatting sqref="L5:L34">
    <cfRule type="containsText" dxfId="109" priority="1" operator="containsText" text="Error">
      <formula>NOT(ISERROR(SEARCH("Error",L5)))</formula>
    </cfRule>
    <cfRule type="containsText" dxfId="108" priority="2" operator="containsText" text="Age Not Found">
      <formula>NOT(ISERROR(SEARCH("Age Not Found",L5)))</formula>
    </cfRule>
    <cfRule type="containsText" dxfId="107" priority="3" operator="containsText" text="Beginning">
      <formula>NOT(ISERROR(SEARCH("Beginning",L5)))</formula>
    </cfRule>
    <cfRule type="containsText" dxfId="106" priority="4" operator="containsText" text="Progressing">
      <formula>NOT(ISERROR(SEARCH("Progressing",L5)))</formula>
    </cfRule>
    <cfRule type="containsText" dxfId="105" priority="5" operator="containsText" text="Achieving">
      <formula>NOT(ISERROR(SEARCH("Achieving",L5)))</formula>
    </cfRule>
    <cfRule type="containsText" dxfId="104" priority="6" operator="containsText" text="Excelling">
      <formula>NOT(ISERROR(SEARCH("Excelling",L5)))</formula>
    </cfRule>
  </conditionalFormatting>
  <dataValidations count="2">
    <dataValidation type="list" allowBlank="1" showInputMessage="1" showErrorMessage="1" sqref="L5:L34" xr:uid="{00000000-0002-0000-0700-000000000000}">
      <formula1>$A$48:$A$52</formula1>
    </dataValidation>
    <dataValidation type="list" allowBlank="1" showInputMessage="1" showErrorMessage="1" sqref="B5:I34" xr:uid="{32199807-5D09-4F92-BB39-ADA9B5C2C0BC}">
      <formula1>"1, 0"</formula1>
    </dataValidation>
  </dataValidations>
  <pageMargins left="0.7" right="0.7" top="0.75" bottom="0.75" header="0.3" footer="0.3"/>
  <pageSetup paperSize="9" orientation="portrait"/>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9"/>
    <outlinePr summaryBelow="0" summaryRight="0"/>
  </sheetPr>
  <dimension ref="A1:R52"/>
  <sheetViews>
    <sheetView showGridLines="0" zoomScale="55" zoomScaleNormal="55" workbookViewId="0">
      <pane xSplit="1" ySplit="3" topLeftCell="B4" activePane="bottomRight" state="frozen"/>
      <selection activeCell="J5" sqref="J5:J34"/>
      <selection pane="topRight" activeCell="J5" sqref="J5:J34"/>
      <selection pane="bottomLeft" activeCell="J5" sqref="J5:J34"/>
      <selection pane="bottomRight" activeCell="C10" sqref="C10"/>
    </sheetView>
  </sheetViews>
  <sheetFormatPr defaultColWidth="12.5546875" defaultRowHeight="15.75" customHeight="1" x14ac:dyDescent="0.25"/>
  <cols>
    <col min="1" max="1" width="27" customWidth="1"/>
    <col min="2" max="6" width="27.21875" customWidth="1"/>
    <col min="7" max="7" width="13.44140625" customWidth="1"/>
    <col min="18" max="18" width="22" customWidth="1"/>
  </cols>
  <sheetData>
    <row r="1" spans="1:18" ht="25.8" customHeight="1" thickTop="1" thickBot="1" x14ac:dyDescent="0.8">
      <c r="A1" s="312" t="s">
        <v>14</v>
      </c>
      <c r="B1" s="313"/>
      <c r="C1" s="313"/>
      <c r="D1" s="313"/>
      <c r="E1" s="313"/>
      <c r="F1" s="313"/>
      <c r="G1" s="313"/>
      <c r="H1" s="313"/>
      <c r="I1" s="314"/>
      <c r="J1" s="306"/>
      <c r="K1" s="315" t="s">
        <v>20</v>
      </c>
      <c r="L1" s="316"/>
      <c r="M1" s="316"/>
      <c r="N1" s="316"/>
      <c r="O1" s="316"/>
      <c r="P1" s="316"/>
      <c r="Q1" s="316"/>
      <c r="R1" s="317"/>
    </row>
    <row r="2" spans="1:18" ht="41.4" customHeight="1" thickTop="1" thickBot="1" x14ac:dyDescent="0.55000000000000004">
      <c r="A2" s="334" t="s">
        <v>114</v>
      </c>
      <c r="B2" s="332"/>
      <c r="C2" s="372" t="s">
        <v>115</v>
      </c>
      <c r="D2" s="332"/>
      <c r="E2" s="373" t="s">
        <v>116</v>
      </c>
      <c r="F2" s="332"/>
      <c r="G2" s="332"/>
      <c r="H2" s="332"/>
      <c r="I2" s="333"/>
      <c r="J2" s="306"/>
      <c r="K2" s="318" t="s">
        <v>24</v>
      </c>
      <c r="L2" s="319"/>
      <c r="M2" s="319"/>
      <c r="N2" s="320"/>
      <c r="O2" s="321"/>
      <c r="P2" s="322"/>
      <c r="Q2" s="322"/>
      <c r="R2" s="323"/>
    </row>
    <row r="3" spans="1:18" ht="52.5" customHeight="1" thickTop="1" thickBot="1" x14ac:dyDescent="0.3">
      <c r="A3" s="196" t="s">
        <v>25</v>
      </c>
      <c r="B3" s="44" t="s">
        <v>117</v>
      </c>
      <c r="C3" s="45" t="s">
        <v>118</v>
      </c>
      <c r="D3" s="45" t="s">
        <v>119</v>
      </c>
      <c r="E3" s="44" t="s">
        <v>120</v>
      </c>
      <c r="F3" s="45" t="s">
        <v>121</v>
      </c>
      <c r="G3" s="66" t="s">
        <v>5</v>
      </c>
      <c r="H3" s="3" t="s">
        <v>31</v>
      </c>
      <c r="I3" s="4" t="s">
        <v>32</v>
      </c>
      <c r="J3" s="306"/>
      <c r="K3" s="305"/>
      <c r="L3" s="306"/>
      <c r="M3" s="306"/>
      <c r="N3" s="306"/>
      <c r="O3" s="306"/>
      <c r="P3" s="306"/>
      <c r="Q3" s="306"/>
      <c r="R3" s="307"/>
    </row>
    <row r="4" spans="1:18" ht="13.05" customHeight="1" thickTop="1" x14ac:dyDescent="0.25">
      <c r="A4" s="189" t="s">
        <v>33</v>
      </c>
      <c r="B4" s="30">
        <v>8</v>
      </c>
      <c r="C4" s="29">
        <v>7</v>
      </c>
      <c r="D4" s="29">
        <v>7</v>
      </c>
      <c r="E4" s="30">
        <v>8</v>
      </c>
      <c r="F4" s="29">
        <v>7</v>
      </c>
      <c r="G4" s="66"/>
      <c r="H4" s="22"/>
      <c r="I4" s="23"/>
      <c r="J4" s="306"/>
      <c r="K4" s="308"/>
      <c r="L4" s="306"/>
      <c r="M4" s="306"/>
      <c r="N4" s="306"/>
      <c r="O4" s="306"/>
      <c r="P4" s="306"/>
      <c r="Q4" s="306"/>
      <c r="R4" s="307"/>
    </row>
    <row r="5" spans="1:18" ht="30" customHeight="1" x14ac:dyDescent="0.25">
      <c r="A5" s="198" t="str">
        <f>'Class List'!A5</f>
        <v>Student</v>
      </c>
      <c r="B5" s="199">
        <v>1</v>
      </c>
      <c r="C5" s="200">
        <v>0</v>
      </c>
      <c r="D5" s="200">
        <v>0</v>
      </c>
      <c r="E5" s="200">
        <v>0</v>
      </c>
      <c r="F5" s="200">
        <v>1</v>
      </c>
      <c r="G5" s="197">
        <f>'Class List'!$C5</f>
        <v>9</v>
      </c>
      <c r="H5" s="194">
        <f t="shared" ref="H5:H34" si="0">SUM(B5:F5)</f>
        <v>2</v>
      </c>
      <c r="I5" s="195" t="str">
        <f t="shared" ref="I5:I34" si="1">IFERROR(
   IF(H5 &lt;= INDEX($B$36:$B$46, MATCH(G5, $A$36:$A$46, 0)), "Beginning",
      IF(H5 &lt;= INDEX($C$36:$C$46, MATCH(G5, $A$36:$A$46, 0)), "Progressing",
         IF(H5 &lt;= INDEX($D$36:$D$46, MATCH(G5, $A$36:$A$46, 0)), "Achieving",
            IF(H5 &gt;= INDEX($E$36:$E$46, MATCH(G5, $A$36:$A$46, 0)), "Excelling", "Error")))),
   "Age Not Found")</f>
        <v>Beginning</v>
      </c>
      <c r="J5" s="306"/>
      <c r="K5" s="308"/>
      <c r="L5" s="306"/>
      <c r="M5" s="306"/>
      <c r="N5" s="306"/>
      <c r="O5" s="306"/>
      <c r="P5" s="306"/>
      <c r="Q5" s="306"/>
      <c r="R5" s="307"/>
    </row>
    <row r="6" spans="1:18" ht="30" customHeight="1" x14ac:dyDescent="0.25">
      <c r="A6" s="198" t="str">
        <f>'Class List'!A6</f>
        <v>Student</v>
      </c>
      <c r="B6" s="201">
        <v>1</v>
      </c>
      <c r="C6" s="202">
        <v>1</v>
      </c>
      <c r="D6" s="202">
        <v>1</v>
      </c>
      <c r="E6" s="202">
        <v>1</v>
      </c>
      <c r="F6" s="202">
        <v>1</v>
      </c>
      <c r="G6" s="197">
        <f>'Class List'!$C6</f>
        <v>10</v>
      </c>
      <c r="H6" s="194">
        <f t="shared" si="0"/>
        <v>5</v>
      </c>
      <c r="I6" s="195" t="str">
        <f t="shared" si="1"/>
        <v>Achieving</v>
      </c>
      <c r="J6" s="306"/>
      <c r="K6" s="308"/>
      <c r="L6" s="306"/>
      <c r="M6" s="306"/>
      <c r="N6" s="306"/>
      <c r="O6" s="306"/>
      <c r="P6" s="306"/>
      <c r="Q6" s="306"/>
      <c r="R6" s="307"/>
    </row>
    <row r="7" spans="1:18" ht="30" customHeight="1" x14ac:dyDescent="0.25">
      <c r="A7" s="198" t="str">
        <f>'Class List'!A7</f>
        <v>Student</v>
      </c>
      <c r="B7" s="201">
        <v>1</v>
      </c>
      <c r="C7" s="202">
        <v>1</v>
      </c>
      <c r="D7" s="202">
        <v>1</v>
      </c>
      <c r="E7" s="202">
        <v>1</v>
      </c>
      <c r="F7" s="202">
        <v>1</v>
      </c>
      <c r="G7" s="197">
        <f>'Class List'!$C7</f>
        <v>9</v>
      </c>
      <c r="H7" s="194">
        <f t="shared" si="0"/>
        <v>5</v>
      </c>
      <c r="I7" s="195" t="str">
        <f t="shared" si="1"/>
        <v>Achieving</v>
      </c>
      <c r="J7" s="306"/>
      <c r="K7" s="308"/>
      <c r="L7" s="306"/>
      <c r="M7" s="306"/>
      <c r="N7" s="306"/>
      <c r="O7" s="306"/>
      <c r="P7" s="306"/>
      <c r="Q7" s="306"/>
      <c r="R7" s="307"/>
    </row>
    <row r="8" spans="1:18" ht="30" customHeight="1" x14ac:dyDescent="0.25">
      <c r="A8" s="198" t="str">
        <f>'Class List'!A8</f>
        <v>Student</v>
      </c>
      <c r="B8" s="201">
        <v>1</v>
      </c>
      <c r="C8" s="202">
        <v>1</v>
      </c>
      <c r="D8" s="202">
        <v>1</v>
      </c>
      <c r="E8" s="202">
        <v>1</v>
      </c>
      <c r="F8" s="202">
        <v>1</v>
      </c>
      <c r="G8" s="197">
        <f>'Class List'!$C8</f>
        <v>10</v>
      </c>
      <c r="H8" s="194">
        <f t="shared" si="0"/>
        <v>5</v>
      </c>
      <c r="I8" s="195" t="str">
        <f t="shared" si="1"/>
        <v>Achieving</v>
      </c>
      <c r="J8" s="306"/>
      <c r="K8" s="308"/>
      <c r="L8" s="306"/>
      <c r="M8" s="306"/>
      <c r="N8" s="306"/>
      <c r="O8" s="306"/>
      <c r="P8" s="306"/>
      <c r="Q8" s="306"/>
      <c r="R8" s="307"/>
    </row>
    <row r="9" spans="1:18" ht="30" customHeight="1" x14ac:dyDescent="0.25">
      <c r="A9" s="198" t="str">
        <f>'Class List'!A9</f>
        <v>Student</v>
      </c>
      <c r="B9" s="201">
        <v>1</v>
      </c>
      <c r="C9" s="202">
        <v>0</v>
      </c>
      <c r="D9" s="202">
        <v>1</v>
      </c>
      <c r="E9" s="202">
        <v>1</v>
      </c>
      <c r="F9" s="202">
        <v>1</v>
      </c>
      <c r="G9" s="197">
        <f>'Class List'!$C9</f>
        <v>10</v>
      </c>
      <c r="H9" s="194">
        <f t="shared" si="0"/>
        <v>4</v>
      </c>
      <c r="I9" s="195" t="str">
        <f t="shared" si="1"/>
        <v>Progressing</v>
      </c>
      <c r="J9" s="306"/>
      <c r="K9" s="308"/>
      <c r="L9" s="306"/>
      <c r="M9" s="306"/>
      <c r="N9" s="306"/>
      <c r="O9" s="306"/>
      <c r="P9" s="306"/>
      <c r="Q9" s="306"/>
      <c r="R9" s="307"/>
    </row>
    <row r="10" spans="1:18" ht="30" customHeight="1" x14ac:dyDescent="0.25">
      <c r="A10" s="198" t="str">
        <f>'Class List'!A10</f>
        <v>Student</v>
      </c>
      <c r="B10" s="201">
        <v>1</v>
      </c>
      <c r="C10" s="202">
        <v>0</v>
      </c>
      <c r="D10" s="202">
        <v>1</v>
      </c>
      <c r="E10" s="202">
        <v>1</v>
      </c>
      <c r="F10" s="202">
        <v>1</v>
      </c>
      <c r="G10" s="197">
        <f>'Class List'!$C10</f>
        <v>10</v>
      </c>
      <c r="H10" s="194">
        <f t="shared" si="0"/>
        <v>4</v>
      </c>
      <c r="I10" s="195" t="str">
        <f t="shared" si="1"/>
        <v>Progressing</v>
      </c>
      <c r="J10" s="306"/>
      <c r="K10" s="308"/>
      <c r="L10" s="306"/>
      <c r="M10" s="306"/>
      <c r="N10" s="306"/>
      <c r="O10" s="306"/>
      <c r="P10" s="306"/>
      <c r="Q10" s="306"/>
      <c r="R10" s="307"/>
    </row>
    <row r="11" spans="1:18" ht="30" customHeight="1" x14ac:dyDescent="0.25">
      <c r="A11" s="198" t="str">
        <f>'Class List'!A11</f>
        <v>Student</v>
      </c>
      <c r="B11" s="201">
        <v>1</v>
      </c>
      <c r="C11" s="202">
        <v>0</v>
      </c>
      <c r="D11" s="202">
        <v>1</v>
      </c>
      <c r="E11" s="202">
        <v>1</v>
      </c>
      <c r="F11" s="202">
        <v>1</v>
      </c>
      <c r="G11" s="197">
        <f>'Class List'!$C11</f>
        <v>9</v>
      </c>
      <c r="H11" s="194">
        <f t="shared" si="0"/>
        <v>4</v>
      </c>
      <c r="I11" s="195" t="str">
        <f t="shared" si="1"/>
        <v>Progressing</v>
      </c>
      <c r="J11" s="306"/>
      <c r="K11" s="308"/>
      <c r="L11" s="306"/>
      <c r="M11" s="306"/>
      <c r="N11" s="306"/>
      <c r="O11" s="306"/>
      <c r="P11" s="306"/>
      <c r="Q11" s="306"/>
      <c r="R11" s="307"/>
    </row>
    <row r="12" spans="1:18" ht="30" customHeight="1" x14ac:dyDescent="0.25">
      <c r="A12" s="198" t="str">
        <f>'Class List'!A12</f>
        <v>Student</v>
      </c>
      <c r="B12" s="201">
        <v>1</v>
      </c>
      <c r="C12" s="202">
        <v>0</v>
      </c>
      <c r="D12" s="202">
        <v>1</v>
      </c>
      <c r="E12" s="202">
        <v>1</v>
      </c>
      <c r="F12" s="202">
        <v>1</v>
      </c>
      <c r="G12" s="197">
        <f>'Class List'!$C12</f>
        <v>9</v>
      </c>
      <c r="H12" s="194">
        <f t="shared" si="0"/>
        <v>4</v>
      </c>
      <c r="I12" s="195" t="str">
        <f t="shared" si="1"/>
        <v>Progressing</v>
      </c>
      <c r="J12" s="306"/>
      <c r="K12" s="308"/>
      <c r="L12" s="306"/>
      <c r="M12" s="306"/>
      <c r="N12" s="306"/>
      <c r="O12" s="306"/>
      <c r="P12" s="306"/>
      <c r="Q12" s="306"/>
      <c r="R12" s="307"/>
    </row>
    <row r="13" spans="1:18" ht="30" customHeight="1" x14ac:dyDescent="0.25">
      <c r="A13" s="198" t="str">
        <f>'Class List'!A13</f>
        <v>Student</v>
      </c>
      <c r="B13" s="201">
        <v>1</v>
      </c>
      <c r="C13" s="202">
        <v>0</v>
      </c>
      <c r="D13" s="202">
        <v>1</v>
      </c>
      <c r="E13" s="202">
        <v>1</v>
      </c>
      <c r="F13" s="202">
        <v>1</v>
      </c>
      <c r="G13" s="197">
        <f>'Class List'!$C13</f>
        <v>9</v>
      </c>
      <c r="H13" s="194">
        <f t="shared" si="0"/>
        <v>4</v>
      </c>
      <c r="I13" s="195" t="str">
        <f t="shared" si="1"/>
        <v>Progressing</v>
      </c>
      <c r="J13" s="306"/>
      <c r="K13" s="308"/>
      <c r="L13" s="306"/>
      <c r="M13" s="306"/>
      <c r="N13" s="306"/>
      <c r="O13" s="306"/>
      <c r="P13" s="306"/>
      <c r="Q13" s="306"/>
      <c r="R13" s="307"/>
    </row>
    <row r="14" spans="1:18" ht="30" customHeight="1" x14ac:dyDescent="0.25">
      <c r="A14" s="198" t="str">
        <f>'Class List'!A14</f>
        <v>Student</v>
      </c>
      <c r="B14" s="201">
        <v>1</v>
      </c>
      <c r="C14" s="202">
        <v>0</v>
      </c>
      <c r="D14" s="202">
        <v>1</v>
      </c>
      <c r="E14" s="202">
        <v>1</v>
      </c>
      <c r="F14" s="202">
        <v>1</v>
      </c>
      <c r="G14" s="197">
        <f>'Class List'!$C14</f>
        <v>9</v>
      </c>
      <c r="H14" s="194">
        <f t="shared" si="0"/>
        <v>4</v>
      </c>
      <c r="I14" s="195" t="str">
        <f t="shared" si="1"/>
        <v>Progressing</v>
      </c>
      <c r="J14" s="306"/>
      <c r="K14" s="308"/>
      <c r="L14" s="306"/>
      <c r="M14" s="306"/>
      <c r="N14" s="306"/>
      <c r="O14" s="306"/>
      <c r="P14" s="306"/>
      <c r="Q14" s="306"/>
      <c r="R14" s="307"/>
    </row>
    <row r="15" spans="1:18" ht="30" customHeight="1" x14ac:dyDescent="0.25">
      <c r="A15" s="198" t="str">
        <f>'Class List'!A15</f>
        <v>Student</v>
      </c>
      <c r="B15" s="201">
        <v>1</v>
      </c>
      <c r="C15" s="202">
        <v>0</v>
      </c>
      <c r="D15" s="202">
        <v>1</v>
      </c>
      <c r="E15" s="202">
        <v>1</v>
      </c>
      <c r="F15" s="202">
        <v>1</v>
      </c>
      <c r="G15" s="197">
        <f>'Class List'!$C15</f>
        <v>10</v>
      </c>
      <c r="H15" s="194">
        <f t="shared" si="0"/>
        <v>4</v>
      </c>
      <c r="I15" s="195" t="str">
        <f t="shared" si="1"/>
        <v>Progressing</v>
      </c>
      <c r="J15" s="306"/>
      <c r="K15" s="308"/>
      <c r="L15" s="306"/>
      <c r="M15" s="306"/>
      <c r="N15" s="306"/>
      <c r="O15" s="306"/>
      <c r="P15" s="306"/>
      <c r="Q15" s="306"/>
      <c r="R15" s="307"/>
    </row>
    <row r="16" spans="1:18" ht="30" customHeight="1" x14ac:dyDescent="0.25">
      <c r="A16" s="198" t="str">
        <f>'Class List'!A16</f>
        <v>Student</v>
      </c>
      <c r="B16" s="201">
        <v>1</v>
      </c>
      <c r="C16" s="202">
        <v>0</v>
      </c>
      <c r="D16" s="202">
        <v>1</v>
      </c>
      <c r="E16" s="202">
        <v>1</v>
      </c>
      <c r="F16" s="202">
        <v>1</v>
      </c>
      <c r="G16" s="197">
        <f>'Class List'!$C16</f>
        <v>9</v>
      </c>
      <c r="H16" s="194">
        <f t="shared" si="0"/>
        <v>4</v>
      </c>
      <c r="I16" s="195" t="str">
        <f t="shared" si="1"/>
        <v>Progressing</v>
      </c>
      <c r="J16" s="306"/>
      <c r="K16" s="308"/>
      <c r="L16" s="306"/>
      <c r="M16" s="306"/>
      <c r="N16" s="306"/>
      <c r="O16" s="306"/>
      <c r="P16" s="306"/>
      <c r="Q16" s="306"/>
      <c r="R16" s="307"/>
    </row>
    <row r="17" spans="1:18" ht="30" customHeight="1" x14ac:dyDescent="0.25">
      <c r="A17" s="198" t="str">
        <f>'Class List'!A17</f>
        <v>Student</v>
      </c>
      <c r="B17" s="201">
        <v>1</v>
      </c>
      <c r="C17" s="202">
        <v>1</v>
      </c>
      <c r="D17" s="202">
        <v>1</v>
      </c>
      <c r="E17" s="202">
        <v>1</v>
      </c>
      <c r="F17" s="202">
        <v>1</v>
      </c>
      <c r="G17" s="197">
        <f>'Class List'!$C17</f>
        <v>9</v>
      </c>
      <c r="H17" s="194">
        <f t="shared" si="0"/>
        <v>5</v>
      </c>
      <c r="I17" s="195" t="str">
        <f t="shared" si="1"/>
        <v>Achieving</v>
      </c>
      <c r="J17" s="306"/>
      <c r="K17" s="308"/>
      <c r="L17" s="306"/>
      <c r="M17" s="306"/>
      <c r="N17" s="306"/>
      <c r="O17" s="306"/>
      <c r="P17" s="306"/>
      <c r="Q17" s="306"/>
      <c r="R17" s="307"/>
    </row>
    <row r="18" spans="1:18" ht="30" customHeight="1" x14ac:dyDescent="0.25">
      <c r="A18" s="198" t="str">
        <f>'Class List'!A18</f>
        <v>Student</v>
      </c>
      <c r="B18" s="201">
        <v>1</v>
      </c>
      <c r="C18" s="202">
        <v>1</v>
      </c>
      <c r="D18" s="202">
        <v>1</v>
      </c>
      <c r="E18" s="202">
        <v>1</v>
      </c>
      <c r="F18" s="202">
        <v>1</v>
      </c>
      <c r="G18" s="197">
        <f>'Class List'!$C18</f>
        <v>10</v>
      </c>
      <c r="H18" s="194">
        <f t="shared" si="0"/>
        <v>5</v>
      </c>
      <c r="I18" s="195" t="str">
        <f t="shared" si="1"/>
        <v>Achieving</v>
      </c>
      <c r="J18" s="306"/>
      <c r="K18" s="308"/>
      <c r="L18" s="306"/>
      <c r="M18" s="306"/>
      <c r="N18" s="306"/>
      <c r="O18" s="306"/>
      <c r="P18" s="306"/>
      <c r="Q18" s="306"/>
      <c r="R18" s="307"/>
    </row>
    <row r="19" spans="1:18" ht="30" customHeight="1" x14ac:dyDescent="0.25">
      <c r="A19" s="198" t="str">
        <f>'Class List'!A19</f>
        <v>Student</v>
      </c>
      <c r="B19" s="201">
        <v>1</v>
      </c>
      <c r="C19" s="202">
        <v>1</v>
      </c>
      <c r="D19" s="202">
        <v>1</v>
      </c>
      <c r="E19" s="202">
        <v>1</v>
      </c>
      <c r="F19" s="202">
        <v>1</v>
      </c>
      <c r="G19" s="197">
        <f>'Class List'!$C19</f>
        <v>10</v>
      </c>
      <c r="H19" s="194">
        <f t="shared" si="0"/>
        <v>5</v>
      </c>
      <c r="I19" s="195" t="str">
        <f t="shared" si="1"/>
        <v>Achieving</v>
      </c>
      <c r="J19" s="306"/>
      <c r="K19" s="308"/>
      <c r="L19" s="306"/>
      <c r="M19" s="306"/>
      <c r="N19" s="306"/>
      <c r="O19" s="306"/>
      <c r="P19" s="306"/>
      <c r="Q19" s="306"/>
      <c r="R19" s="307"/>
    </row>
    <row r="20" spans="1:18" ht="30" customHeight="1" x14ac:dyDescent="0.25">
      <c r="A20" s="198" t="str">
        <f>'Class List'!A20</f>
        <v>Student</v>
      </c>
      <c r="B20" s="201">
        <v>1</v>
      </c>
      <c r="C20" s="202">
        <v>1</v>
      </c>
      <c r="D20" s="202">
        <v>1</v>
      </c>
      <c r="E20" s="202">
        <v>1</v>
      </c>
      <c r="F20" s="202">
        <v>1</v>
      </c>
      <c r="G20" s="197">
        <f>'Class List'!$C20</f>
        <v>10</v>
      </c>
      <c r="H20" s="194">
        <f t="shared" si="0"/>
        <v>5</v>
      </c>
      <c r="I20" s="195" t="str">
        <f t="shared" si="1"/>
        <v>Achieving</v>
      </c>
      <c r="J20" s="306"/>
      <c r="K20" s="308"/>
      <c r="L20" s="306"/>
      <c r="M20" s="306"/>
      <c r="N20" s="306"/>
      <c r="O20" s="306"/>
      <c r="P20" s="306"/>
      <c r="Q20" s="306"/>
      <c r="R20" s="307"/>
    </row>
    <row r="21" spans="1:18" ht="30" customHeight="1" x14ac:dyDescent="0.25">
      <c r="A21" s="198" t="str">
        <f>'Class List'!A21</f>
        <v>Student</v>
      </c>
      <c r="B21" s="201">
        <v>1</v>
      </c>
      <c r="C21" s="202">
        <v>1</v>
      </c>
      <c r="D21" s="202">
        <v>1</v>
      </c>
      <c r="E21" s="202">
        <v>1</v>
      </c>
      <c r="F21" s="202">
        <v>1</v>
      </c>
      <c r="G21" s="197">
        <f>'Class List'!$C21</f>
        <v>9</v>
      </c>
      <c r="H21" s="194">
        <f t="shared" si="0"/>
        <v>5</v>
      </c>
      <c r="I21" s="195" t="str">
        <f t="shared" si="1"/>
        <v>Achieving</v>
      </c>
      <c r="J21" s="306"/>
      <c r="K21" s="308"/>
      <c r="L21" s="306"/>
      <c r="M21" s="306"/>
      <c r="N21" s="306"/>
      <c r="O21" s="306"/>
      <c r="P21" s="306"/>
      <c r="Q21" s="306"/>
      <c r="R21" s="307"/>
    </row>
    <row r="22" spans="1:18" ht="30" customHeight="1" x14ac:dyDescent="0.25">
      <c r="A22" s="198" t="str">
        <f>'Class List'!A22</f>
        <v>Student</v>
      </c>
      <c r="B22" s="201">
        <v>1</v>
      </c>
      <c r="C22" s="202">
        <v>1</v>
      </c>
      <c r="D22" s="202">
        <v>1</v>
      </c>
      <c r="E22" s="202">
        <v>1</v>
      </c>
      <c r="F22" s="202">
        <v>1</v>
      </c>
      <c r="G22" s="197">
        <f>'Class List'!$C22</f>
        <v>10</v>
      </c>
      <c r="H22" s="194">
        <f t="shared" si="0"/>
        <v>5</v>
      </c>
      <c r="I22" s="195" t="str">
        <f t="shared" si="1"/>
        <v>Achieving</v>
      </c>
      <c r="J22" s="306"/>
      <c r="K22" s="308"/>
      <c r="L22" s="306"/>
      <c r="M22" s="306"/>
      <c r="N22" s="306"/>
      <c r="O22" s="306"/>
      <c r="P22" s="306"/>
      <c r="Q22" s="306"/>
      <c r="R22" s="307"/>
    </row>
    <row r="23" spans="1:18" ht="30" customHeight="1" x14ac:dyDescent="0.25">
      <c r="A23" s="198" t="str">
        <f>'Class List'!A23</f>
        <v>Student</v>
      </c>
      <c r="B23" s="201">
        <v>1</v>
      </c>
      <c r="C23" s="202">
        <v>1</v>
      </c>
      <c r="D23" s="202">
        <v>1</v>
      </c>
      <c r="E23" s="202">
        <v>1</v>
      </c>
      <c r="F23" s="202">
        <v>1</v>
      </c>
      <c r="G23" s="197">
        <f>'Class List'!$C23</f>
        <v>10</v>
      </c>
      <c r="H23" s="194">
        <f t="shared" si="0"/>
        <v>5</v>
      </c>
      <c r="I23" s="195" t="str">
        <f t="shared" si="1"/>
        <v>Achieving</v>
      </c>
      <c r="J23" s="306"/>
      <c r="K23" s="308"/>
      <c r="L23" s="306"/>
      <c r="M23" s="306"/>
      <c r="N23" s="306"/>
      <c r="O23" s="306"/>
      <c r="P23" s="306"/>
      <c r="Q23" s="306"/>
      <c r="R23" s="307"/>
    </row>
    <row r="24" spans="1:18" ht="30" customHeight="1" x14ac:dyDescent="0.25">
      <c r="A24" s="198" t="str">
        <f>'Class List'!A24</f>
        <v>Student</v>
      </c>
      <c r="B24" s="201">
        <v>1</v>
      </c>
      <c r="C24" s="202">
        <v>1</v>
      </c>
      <c r="D24" s="202">
        <v>1</v>
      </c>
      <c r="E24" s="202">
        <v>1</v>
      </c>
      <c r="F24" s="202">
        <v>0</v>
      </c>
      <c r="G24" s="197">
        <f>'Class List'!$C24</f>
        <v>9</v>
      </c>
      <c r="H24" s="194">
        <f t="shared" si="0"/>
        <v>4</v>
      </c>
      <c r="I24" s="195" t="str">
        <f t="shared" si="1"/>
        <v>Progressing</v>
      </c>
      <c r="J24" s="306"/>
      <c r="K24" s="308"/>
      <c r="L24" s="306"/>
      <c r="M24" s="306"/>
      <c r="N24" s="306"/>
      <c r="O24" s="306"/>
      <c r="P24" s="306"/>
      <c r="Q24" s="306"/>
      <c r="R24" s="307"/>
    </row>
    <row r="25" spans="1:18" ht="30" customHeight="1" x14ac:dyDescent="0.25">
      <c r="A25" s="198" t="str">
        <f>'Class List'!A25</f>
        <v>Student</v>
      </c>
      <c r="B25" s="201">
        <v>1</v>
      </c>
      <c r="C25" s="202">
        <v>1</v>
      </c>
      <c r="D25" s="202">
        <v>1</v>
      </c>
      <c r="E25" s="202">
        <v>1</v>
      </c>
      <c r="F25" s="202">
        <v>0</v>
      </c>
      <c r="G25" s="197">
        <f>'Class List'!$C25</f>
        <v>10</v>
      </c>
      <c r="H25" s="194">
        <f t="shared" si="0"/>
        <v>4</v>
      </c>
      <c r="I25" s="195" t="str">
        <f t="shared" si="1"/>
        <v>Progressing</v>
      </c>
      <c r="J25" s="306"/>
      <c r="K25" s="308"/>
      <c r="L25" s="306"/>
      <c r="M25" s="306"/>
      <c r="N25" s="306"/>
      <c r="O25" s="306"/>
      <c r="P25" s="306"/>
      <c r="Q25" s="306"/>
      <c r="R25" s="307"/>
    </row>
    <row r="26" spans="1:18" ht="30" customHeight="1" x14ac:dyDescent="0.25">
      <c r="A26" s="198" t="str">
        <f>'Class List'!A26</f>
        <v>Student</v>
      </c>
      <c r="B26" s="201">
        <v>1</v>
      </c>
      <c r="C26" s="202">
        <v>1</v>
      </c>
      <c r="D26" s="202">
        <v>1</v>
      </c>
      <c r="E26" s="202">
        <v>1</v>
      </c>
      <c r="F26" s="202">
        <v>0</v>
      </c>
      <c r="G26" s="197">
        <f>'Class List'!$C26</f>
        <v>10</v>
      </c>
      <c r="H26" s="194">
        <f t="shared" si="0"/>
        <v>4</v>
      </c>
      <c r="I26" s="195" t="str">
        <f t="shared" si="1"/>
        <v>Progressing</v>
      </c>
      <c r="J26" s="306"/>
      <c r="K26" s="308"/>
      <c r="L26" s="306"/>
      <c r="M26" s="306"/>
      <c r="N26" s="306"/>
      <c r="O26" s="306"/>
      <c r="P26" s="306"/>
      <c r="Q26" s="306"/>
      <c r="R26" s="307"/>
    </row>
    <row r="27" spans="1:18" ht="30" customHeight="1" x14ac:dyDescent="0.25">
      <c r="A27" s="198" t="str">
        <f>'Class List'!A27</f>
        <v>Student</v>
      </c>
      <c r="B27" s="201">
        <v>1</v>
      </c>
      <c r="C27" s="202">
        <v>1</v>
      </c>
      <c r="D27" s="202">
        <v>1</v>
      </c>
      <c r="E27" s="202">
        <v>1</v>
      </c>
      <c r="F27" s="202">
        <v>0</v>
      </c>
      <c r="G27" s="197">
        <f>'Class List'!$C27</f>
        <v>9</v>
      </c>
      <c r="H27" s="194">
        <f t="shared" si="0"/>
        <v>4</v>
      </c>
      <c r="I27" s="195" t="str">
        <f t="shared" si="1"/>
        <v>Progressing</v>
      </c>
      <c r="J27" s="306"/>
      <c r="K27" s="308"/>
      <c r="L27" s="306"/>
      <c r="M27" s="306"/>
      <c r="N27" s="306"/>
      <c r="O27" s="306"/>
      <c r="P27" s="306"/>
      <c r="Q27" s="306"/>
      <c r="R27" s="307"/>
    </row>
    <row r="28" spans="1:18" ht="30" customHeight="1" x14ac:dyDescent="0.25">
      <c r="A28" s="198" t="str">
        <f>'Class List'!A28</f>
        <v>Student</v>
      </c>
      <c r="B28" s="201">
        <v>0</v>
      </c>
      <c r="C28" s="202">
        <v>0</v>
      </c>
      <c r="D28" s="202">
        <v>0</v>
      </c>
      <c r="E28" s="202">
        <v>0</v>
      </c>
      <c r="F28" s="202">
        <v>1</v>
      </c>
      <c r="G28" s="197">
        <f>'Class List'!$C28</f>
        <v>9</v>
      </c>
      <c r="H28" s="194">
        <f t="shared" si="0"/>
        <v>1</v>
      </c>
      <c r="I28" s="195" t="str">
        <f t="shared" si="1"/>
        <v>Beginning</v>
      </c>
      <c r="J28" s="306"/>
      <c r="K28" s="308"/>
      <c r="L28" s="306"/>
      <c r="M28" s="306"/>
      <c r="N28" s="306"/>
      <c r="O28" s="306"/>
      <c r="P28" s="306"/>
      <c r="Q28" s="306"/>
      <c r="R28" s="307"/>
    </row>
    <row r="29" spans="1:18" ht="30" customHeight="1" x14ac:dyDescent="0.25">
      <c r="A29" s="198" t="str">
        <f>'Class List'!A29</f>
        <v>Student</v>
      </c>
      <c r="B29" s="201">
        <v>0</v>
      </c>
      <c r="C29" s="202">
        <v>0</v>
      </c>
      <c r="D29" s="202">
        <v>0</v>
      </c>
      <c r="E29" s="202">
        <v>0</v>
      </c>
      <c r="F29" s="202">
        <v>1</v>
      </c>
      <c r="G29" s="197">
        <f>'Class List'!$C29</f>
        <v>9</v>
      </c>
      <c r="H29" s="194">
        <f t="shared" si="0"/>
        <v>1</v>
      </c>
      <c r="I29" s="195" t="str">
        <f t="shared" si="1"/>
        <v>Beginning</v>
      </c>
      <c r="J29" s="306"/>
      <c r="K29" s="308"/>
      <c r="L29" s="306"/>
      <c r="M29" s="306"/>
      <c r="N29" s="306"/>
      <c r="O29" s="306"/>
      <c r="P29" s="306"/>
      <c r="Q29" s="306"/>
      <c r="R29" s="307"/>
    </row>
    <row r="30" spans="1:18" ht="30" customHeight="1" x14ac:dyDescent="0.25">
      <c r="A30" s="198" t="str">
        <f>'Class List'!A30</f>
        <v>Student</v>
      </c>
      <c r="B30" s="201">
        <v>0</v>
      </c>
      <c r="C30" s="202">
        <v>0</v>
      </c>
      <c r="D30" s="202">
        <v>0</v>
      </c>
      <c r="E30" s="202">
        <v>0</v>
      </c>
      <c r="F30" s="202">
        <v>1</v>
      </c>
      <c r="G30" s="197">
        <f>'Class List'!$C30</f>
        <v>9</v>
      </c>
      <c r="H30" s="194">
        <f t="shared" si="0"/>
        <v>1</v>
      </c>
      <c r="I30" s="195" t="str">
        <f t="shared" si="1"/>
        <v>Beginning</v>
      </c>
      <c r="J30" s="306"/>
      <c r="K30" s="308"/>
      <c r="L30" s="306"/>
      <c r="M30" s="306"/>
      <c r="N30" s="306"/>
      <c r="O30" s="306"/>
      <c r="P30" s="306"/>
      <c r="Q30" s="306"/>
      <c r="R30" s="307"/>
    </row>
    <row r="31" spans="1:18" ht="30" customHeight="1" x14ac:dyDescent="0.25">
      <c r="A31" s="198">
        <f>'Class List'!A31</f>
        <v>0</v>
      </c>
      <c r="B31" s="201">
        <v>0</v>
      </c>
      <c r="C31" s="202">
        <v>0</v>
      </c>
      <c r="D31" s="202">
        <v>0</v>
      </c>
      <c r="E31" s="202">
        <v>0</v>
      </c>
      <c r="F31" s="202">
        <v>0</v>
      </c>
      <c r="G31" s="197">
        <f>'Class List'!$C31</f>
        <v>0</v>
      </c>
      <c r="H31" s="194">
        <f t="shared" si="0"/>
        <v>0</v>
      </c>
      <c r="I31" s="195" t="str">
        <f t="shared" si="1"/>
        <v>Age Not Found</v>
      </c>
      <c r="J31" s="306"/>
      <c r="K31" s="308"/>
      <c r="L31" s="306"/>
      <c r="M31" s="306"/>
      <c r="N31" s="306"/>
      <c r="O31" s="306"/>
      <c r="P31" s="306"/>
      <c r="Q31" s="306"/>
      <c r="R31" s="307"/>
    </row>
    <row r="32" spans="1:18" ht="30" customHeight="1" x14ac:dyDescent="0.25">
      <c r="A32" s="198">
        <f>'Class List'!A32</f>
        <v>0</v>
      </c>
      <c r="B32" s="201">
        <v>0</v>
      </c>
      <c r="C32" s="202">
        <v>0</v>
      </c>
      <c r="D32" s="202">
        <v>0</v>
      </c>
      <c r="E32" s="202">
        <v>0</v>
      </c>
      <c r="F32" s="202">
        <v>0</v>
      </c>
      <c r="G32" s="197">
        <f>'Class List'!$C32</f>
        <v>0</v>
      </c>
      <c r="H32" s="194">
        <f t="shared" si="0"/>
        <v>0</v>
      </c>
      <c r="I32" s="195" t="str">
        <f t="shared" si="1"/>
        <v>Age Not Found</v>
      </c>
      <c r="J32" s="306"/>
      <c r="K32" s="308"/>
      <c r="L32" s="306"/>
      <c r="M32" s="306"/>
      <c r="N32" s="306"/>
      <c r="O32" s="306"/>
      <c r="P32" s="306"/>
      <c r="Q32" s="306"/>
      <c r="R32" s="307"/>
    </row>
    <row r="33" spans="1:18" ht="30" customHeight="1" x14ac:dyDescent="0.25">
      <c r="A33" s="198">
        <f>'Class List'!A33</f>
        <v>0</v>
      </c>
      <c r="B33" s="201">
        <v>0</v>
      </c>
      <c r="C33" s="202">
        <v>0</v>
      </c>
      <c r="D33" s="202">
        <v>0</v>
      </c>
      <c r="E33" s="202">
        <v>0</v>
      </c>
      <c r="F33" s="202">
        <v>0</v>
      </c>
      <c r="G33" s="197">
        <f>'Class List'!$C33</f>
        <v>0</v>
      </c>
      <c r="H33" s="194">
        <f t="shared" si="0"/>
        <v>0</v>
      </c>
      <c r="I33" s="195" t="str">
        <f t="shared" si="1"/>
        <v>Age Not Found</v>
      </c>
      <c r="J33" s="306"/>
      <c r="K33" s="308"/>
      <c r="L33" s="306"/>
      <c r="M33" s="306"/>
      <c r="N33" s="306"/>
      <c r="O33" s="306"/>
      <c r="P33" s="306"/>
      <c r="Q33" s="306"/>
      <c r="R33" s="307"/>
    </row>
    <row r="34" spans="1:18" ht="30" customHeight="1" thickBot="1" x14ac:dyDescent="0.3">
      <c r="A34" s="198">
        <f>'Class List'!A34</f>
        <v>0</v>
      </c>
      <c r="B34" s="203">
        <v>0</v>
      </c>
      <c r="C34" s="204">
        <v>0</v>
      </c>
      <c r="D34" s="204">
        <v>0</v>
      </c>
      <c r="E34" s="204">
        <v>0</v>
      </c>
      <c r="F34" s="204">
        <v>0</v>
      </c>
      <c r="G34" s="197">
        <f>'Class List'!$C34</f>
        <v>0</v>
      </c>
      <c r="H34" s="194">
        <f t="shared" si="0"/>
        <v>0</v>
      </c>
      <c r="I34" s="195" t="str">
        <f t="shared" si="1"/>
        <v>Age Not Found</v>
      </c>
      <c r="J34" s="306"/>
      <c r="K34" s="308"/>
      <c r="L34" s="306"/>
      <c r="M34" s="306"/>
      <c r="N34" s="306"/>
      <c r="O34" s="306"/>
      <c r="P34" s="306"/>
      <c r="Q34" s="306"/>
      <c r="R34" s="307"/>
    </row>
    <row r="35" spans="1:18" ht="14.1" customHeight="1" thickTop="1" thickBot="1" x14ac:dyDescent="0.3">
      <c r="A35" s="191" t="s">
        <v>34</v>
      </c>
      <c r="B35" s="192">
        <f>SUM(B5:B34)</f>
        <v>23</v>
      </c>
      <c r="C35" s="192">
        <f>SUM(C5:C34)</f>
        <v>14</v>
      </c>
      <c r="D35" s="192">
        <f>SUM(D5:D34)</f>
        <v>22</v>
      </c>
      <c r="E35" s="192">
        <f>SUM(E5:E34)</f>
        <v>22</v>
      </c>
      <c r="F35" s="192">
        <f>SUM(F5:F34)</f>
        <v>22</v>
      </c>
      <c r="G35" s="192"/>
      <c r="H35" s="192"/>
      <c r="I35" s="193"/>
      <c r="J35" s="306"/>
      <c r="K35" s="308"/>
      <c r="L35" s="306"/>
      <c r="M35" s="306"/>
      <c r="N35" s="306"/>
      <c r="O35" s="306"/>
      <c r="P35" s="306"/>
      <c r="Q35" s="306"/>
      <c r="R35" s="307"/>
    </row>
    <row r="36" spans="1:18" ht="16.05" customHeight="1" thickTop="1" x14ac:dyDescent="0.3">
      <c r="A36" s="327" t="s">
        <v>35</v>
      </c>
      <c r="B36" s="328"/>
      <c r="C36" s="328"/>
      <c r="D36" s="328"/>
      <c r="E36" s="329"/>
      <c r="H36" s="340"/>
      <c r="I36" s="306"/>
      <c r="J36" s="306"/>
      <c r="K36" s="308"/>
      <c r="L36" s="306"/>
      <c r="M36" s="306"/>
      <c r="N36" s="306"/>
      <c r="O36" s="306"/>
      <c r="P36" s="306"/>
      <c r="Q36" s="306"/>
      <c r="R36" s="307"/>
    </row>
    <row r="37" spans="1:18" ht="13.05" customHeight="1" x14ac:dyDescent="0.25">
      <c r="A37" s="324"/>
      <c r="B37" s="325"/>
      <c r="C37" s="325"/>
      <c r="D37" s="325"/>
      <c r="E37" s="326"/>
      <c r="H37" s="306"/>
      <c r="I37" s="306"/>
      <c r="J37" s="306"/>
      <c r="K37" s="308"/>
      <c r="L37" s="306"/>
      <c r="M37" s="306"/>
      <c r="N37" s="306"/>
      <c r="O37" s="306"/>
      <c r="P37" s="306"/>
      <c r="Q37" s="306"/>
      <c r="R37" s="307"/>
    </row>
    <row r="38" spans="1:18" ht="13.05" customHeight="1" x14ac:dyDescent="0.25">
      <c r="A38" s="5" t="s">
        <v>5</v>
      </c>
      <c r="B38" s="6" t="s">
        <v>37</v>
      </c>
      <c r="C38" s="6" t="s">
        <v>38</v>
      </c>
      <c r="D38" s="6" t="s">
        <v>39</v>
      </c>
      <c r="E38" s="7" t="s">
        <v>40</v>
      </c>
      <c r="H38" s="8" t="s">
        <v>41</v>
      </c>
      <c r="I38" s="9"/>
      <c r="J38" s="306"/>
      <c r="K38" s="308"/>
      <c r="L38" s="306"/>
      <c r="M38" s="306"/>
      <c r="N38" s="306"/>
      <c r="O38" s="306"/>
      <c r="P38" s="306"/>
      <c r="Q38" s="306"/>
      <c r="R38" s="307"/>
    </row>
    <row r="39" spans="1:18" ht="12.6" customHeight="1" x14ac:dyDescent="0.25">
      <c r="A39" s="32">
        <v>5</v>
      </c>
      <c r="B39" s="10">
        <v>0</v>
      </c>
      <c r="C39" s="10">
        <v>0</v>
      </c>
      <c r="D39" s="10">
        <v>0</v>
      </c>
      <c r="E39" s="11">
        <v>1</v>
      </c>
      <c r="H39" s="12" t="s">
        <v>42</v>
      </c>
      <c r="I39" s="13">
        <f>COUNTIF(I$5:I$34, "Beginning")</f>
        <v>4</v>
      </c>
      <c r="J39" s="306"/>
      <c r="K39" s="308"/>
      <c r="L39" s="306"/>
      <c r="M39" s="306"/>
      <c r="N39" s="306"/>
      <c r="O39" s="306"/>
      <c r="P39" s="306"/>
      <c r="Q39" s="306"/>
      <c r="R39" s="307"/>
    </row>
    <row r="40" spans="1:18" ht="12.6" customHeight="1" x14ac:dyDescent="0.25">
      <c r="A40" s="32">
        <v>6</v>
      </c>
      <c r="B40" s="10">
        <v>0</v>
      </c>
      <c r="C40" s="10">
        <v>0</v>
      </c>
      <c r="D40" s="10">
        <v>0</v>
      </c>
      <c r="E40" s="11">
        <v>1</v>
      </c>
      <c r="H40" s="12" t="s">
        <v>38</v>
      </c>
      <c r="I40" s="13">
        <f>COUNTIF(I$5:I$34, "Progressing")</f>
        <v>12</v>
      </c>
      <c r="J40" s="306"/>
      <c r="K40" s="308"/>
      <c r="L40" s="306"/>
      <c r="M40" s="306"/>
      <c r="N40" s="306"/>
      <c r="O40" s="306"/>
      <c r="P40" s="306"/>
      <c r="Q40" s="306"/>
      <c r="R40" s="307"/>
    </row>
    <row r="41" spans="1:18" ht="12.6" customHeight="1" x14ac:dyDescent="0.25">
      <c r="A41" s="32">
        <v>7</v>
      </c>
      <c r="B41" s="10">
        <v>1</v>
      </c>
      <c r="C41" s="10">
        <v>2</v>
      </c>
      <c r="D41" s="10">
        <v>3</v>
      </c>
      <c r="E41" s="11">
        <v>4</v>
      </c>
      <c r="H41" s="12" t="s">
        <v>43</v>
      </c>
      <c r="I41" s="13">
        <f>COUNTIF(I$5:I$34, "Achieving")</f>
        <v>10</v>
      </c>
      <c r="J41" s="306"/>
      <c r="K41" s="308"/>
      <c r="L41" s="306"/>
      <c r="M41" s="306"/>
      <c r="N41" s="306"/>
      <c r="O41" s="306"/>
      <c r="P41" s="306"/>
      <c r="Q41" s="306"/>
      <c r="R41" s="307"/>
    </row>
    <row r="42" spans="1:18" ht="12.6" customHeight="1" x14ac:dyDescent="0.25">
      <c r="A42" s="32">
        <v>8</v>
      </c>
      <c r="B42" s="10">
        <v>3</v>
      </c>
      <c r="C42" s="10">
        <v>4</v>
      </c>
      <c r="D42" s="10">
        <v>5</v>
      </c>
      <c r="E42" s="11">
        <v>6</v>
      </c>
      <c r="H42" s="12" t="s">
        <v>40</v>
      </c>
      <c r="I42" s="13">
        <f>COUNTIF(I$5:I$34, "Excelling")</f>
        <v>0</v>
      </c>
      <c r="J42" s="306"/>
      <c r="K42" s="308"/>
      <c r="L42" s="306"/>
      <c r="M42" s="306"/>
      <c r="N42" s="306"/>
      <c r="O42" s="306"/>
      <c r="P42" s="306"/>
      <c r="Q42" s="306"/>
      <c r="R42" s="307"/>
    </row>
    <row r="43" spans="1:18" ht="12.6" customHeight="1" x14ac:dyDescent="0.25">
      <c r="A43" s="33">
        <v>9</v>
      </c>
      <c r="B43" s="10">
        <v>3</v>
      </c>
      <c r="C43" s="10">
        <v>4</v>
      </c>
      <c r="D43" s="10">
        <v>5</v>
      </c>
      <c r="E43" s="11">
        <v>6</v>
      </c>
      <c r="H43" s="306"/>
      <c r="I43" s="306"/>
      <c r="J43" s="306"/>
      <c r="K43" s="308"/>
      <c r="L43" s="306"/>
      <c r="M43" s="306"/>
      <c r="N43" s="306"/>
      <c r="O43" s="306"/>
      <c r="P43" s="306"/>
      <c r="Q43" s="306"/>
      <c r="R43" s="307"/>
    </row>
    <row r="44" spans="1:18" ht="13.05" customHeight="1" thickBot="1" x14ac:dyDescent="0.3">
      <c r="A44" s="32">
        <v>10</v>
      </c>
      <c r="B44" s="10">
        <v>3</v>
      </c>
      <c r="C44" s="10">
        <v>4</v>
      </c>
      <c r="D44" s="10">
        <v>5</v>
      </c>
      <c r="E44" s="11">
        <v>6</v>
      </c>
      <c r="H44" s="306"/>
      <c r="I44" s="306"/>
      <c r="J44" s="306"/>
      <c r="K44" s="309"/>
      <c r="L44" s="310"/>
      <c r="M44" s="310"/>
      <c r="N44" s="310"/>
      <c r="O44" s="310"/>
      <c r="P44" s="310"/>
      <c r="Q44" s="310"/>
      <c r="R44" s="311"/>
    </row>
    <row r="45" spans="1:18" ht="13.05" customHeight="1" thickTop="1" x14ac:dyDescent="0.25">
      <c r="A45" s="32">
        <v>11</v>
      </c>
      <c r="B45" s="10">
        <v>3</v>
      </c>
      <c r="C45" s="10">
        <v>4</v>
      </c>
      <c r="D45" s="10">
        <v>5</v>
      </c>
      <c r="E45" s="11">
        <v>6</v>
      </c>
      <c r="H45" s="306"/>
      <c r="I45" s="306"/>
      <c r="J45" s="306"/>
      <c r="K45" s="306"/>
      <c r="L45" s="306"/>
      <c r="M45" s="306"/>
      <c r="N45" s="306"/>
      <c r="O45" s="306"/>
      <c r="P45" s="306"/>
      <c r="Q45" s="306"/>
      <c r="R45" s="306"/>
    </row>
    <row r="46" spans="1:18" ht="13.05" customHeight="1" thickBot="1" x14ac:dyDescent="0.3">
      <c r="A46" s="34">
        <v>12</v>
      </c>
      <c r="B46" s="14">
        <v>3</v>
      </c>
      <c r="C46" s="14">
        <v>4</v>
      </c>
      <c r="D46" s="14">
        <v>5</v>
      </c>
      <c r="E46" s="15">
        <v>6</v>
      </c>
      <c r="H46" s="306"/>
      <c r="I46" s="306"/>
      <c r="J46" s="306"/>
      <c r="K46" s="306"/>
      <c r="L46" s="306"/>
      <c r="M46" s="306"/>
      <c r="N46" s="306"/>
      <c r="O46" s="306"/>
      <c r="P46" s="306"/>
      <c r="Q46" s="306"/>
      <c r="R46" s="306"/>
    </row>
    <row r="47" spans="1:18" ht="15.75" customHeight="1" thickTop="1" x14ac:dyDescent="0.25"/>
    <row r="48" spans="1:18"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4">
    <mergeCell ref="K3:R44"/>
    <mergeCell ref="K45:R46"/>
    <mergeCell ref="A1:I1"/>
    <mergeCell ref="J1:J46"/>
    <mergeCell ref="K1:R1"/>
    <mergeCell ref="K2:N2"/>
    <mergeCell ref="O2:R2"/>
    <mergeCell ref="H36:I37"/>
    <mergeCell ref="H43:I46"/>
    <mergeCell ref="A36:E36"/>
    <mergeCell ref="A37:E37"/>
    <mergeCell ref="A2:B2"/>
    <mergeCell ref="C2:D2"/>
    <mergeCell ref="E2:I2"/>
  </mergeCells>
  <conditionalFormatting sqref="I5:I34">
    <cfRule type="containsText" dxfId="90" priority="1" operator="containsText" text="Error">
      <formula>NOT(ISERROR(SEARCH("Error",I5)))</formula>
    </cfRule>
    <cfRule type="containsText" dxfId="89" priority="2" operator="containsText" text="Age Not Found">
      <formula>NOT(ISERROR(SEARCH("Age Not Found",I5)))</formula>
    </cfRule>
    <cfRule type="containsText" dxfId="88" priority="3" operator="containsText" text="Beginning">
      <formula>NOT(ISERROR(SEARCH("Beginning",I5)))</formula>
    </cfRule>
    <cfRule type="containsText" dxfId="87" priority="4" operator="containsText" text="Progressing">
      <formula>NOT(ISERROR(SEARCH("Progressing",I5)))</formula>
    </cfRule>
    <cfRule type="containsText" dxfId="86" priority="5" operator="containsText" text="Achieving">
      <formula>NOT(ISERROR(SEARCH("Achieving",I5)))</formula>
    </cfRule>
    <cfRule type="containsText" dxfId="85" priority="6" operator="containsText" text="Excelling">
      <formula>NOT(ISERROR(SEARCH("Excelling",I5)))</formula>
    </cfRule>
  </conditionalFormatting>
  <dataValidations count="2">
    <dataValidation type="list" allowBlank="1" showInputMessage="1" showErrorMessage="1" sqref="I5:I34" xr:uid="{00000000-0002-0000-0800-000000000000}">
      <formula1>$A$48:$A$52</formula1>
    </dataValidation>
    <dataValidation type="list" allowBlank="1" showInputMessage="1" showErrorMessage="1" sqref="B5:F34" xr:uid="{9BC27C4C-749B-4FFD-8946-6AD8DBE1A05D}">
      <formula1>"1, 0"</formula1>
    </dataValidation>
  </dataValidations>
  <pageMargins left="0.7" right="0.7" top="0.75" bottom="0.75" header="0.3" footer="0.3"/>
  <pageSetup orientation="portrait"/>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9"/>
    <outlinePr summaryBelow="0" summaryRight="0"/>
  </sheetPr>
  <dimension ref="A1:U52"/>
  <sheetViews>
    <sheetView showGridLines="0" zoomScale="55" zoomScaleNormal="55" workbookViewId="0">
      <pane xSplit="1" ySplit="3" topLeftCell="B19" activePane="bottomRight" state="frozen"/>
      <selection activeCell="J5" sqref="J5:J34"/>
      <selection pane="topRight" activeCell="J5" sqref="J5:J34"/>
      <selection pane="bottomLeft" activeCell="J5" sqref="J5:J34"/>
      <selection pane="bottomRight" activeCell="A5" sqref="A5:L34"/>
    </sheetView>
  </sheetViews>
  <sheetFormatPr defaultColWidth="12.5546875" defaultRowHeight="15.75" customHeight="1" x14ac:dyDescent="0.25"/>
  <cols>
    <col min="1" max="1" width="27" customWidth="1"/>
    <col min="2" max="9" width="27.21875" customWidth="1"/>
    <col min="10" max="10" width="13.21875" customWidth="1"/>
    <col min="21" max="21" width="29.77734375" customWidth="1"/>
  </cols>
  <sheetData>
    <row r="1" spans="1:21" ht="33.6" customHeight="1" thickTop="1" thickBot="1" x14ac:dyDescent="0.8">
      <c r="A1" s="312" t="s">
        <v>122</v>
      </c>
      <c r="B1" s="313"/>
      <c r="C1" s="313"/>
      <c r="D1" s="313"/>
      <c r="E1" s="313"/>
      <c r="F1" s="313"/>
      <c r="G1" s="313"/>
      <c r="H1" s="313"/>
      <c r="I1" s="313"/>
      <c r="J1" s="313"/>
      <c r="K1" s="313"/>
      <c r="L1" s="314"/>
      <c r="M1" s="306"/>
      <c r="N1" s="315" t="s">
        <v>20</v>
      </c>
      <c r="O1" s="316"/>
      <c r="P1" s="316"/>
      <c r="Q1" s="316"/>
      <c r="R1" s="316"/>
      <c r="S1" s="316"/>
      <c r="T1" s="316"/>
      <c r="U1" s="317"/>
    </row>
    <row r="2" spans="1:21" ht="50.4" customHeight="1" thickTop="1" thickBot="1" x14ac:dyDescent="0.55000000000000004">
      <c r="A2" s="334" t="s">
        <v>123</v>
      </c>
      <c r="B2" s="332"/>
      <c r="C2" s="374" t="s">
        <v>124</v>
      </c>
      <c r="D2" s="332"/>
      <c r="E2" s="332"/>
      <c r="F2" s="332"/>
      <c r="G2" s="333"/>
      <c r="H2" s="331" t="s">
        <v>125</v>
      </c>
      <c r="I2" s="332"/>
      <c r="J2" s="332"/>
      <c r="K2" s="332"/>
      <c r="L2" s="333"/>
      <c r="M2" s="306"/>
      <c r="N2" s="318" t="s">
        <v>24</v>
      </c>
      <c r="O2" s="319"/>
      <c r="P2" s="319"/>
      <c r="Q2" s="320"/>
      <c r="R2" s="321"/>
      <c r="S2" s="322"/>
      <c r="T2" s="322"/>
      <c r="U2" s="323"/>
    </row>
    <row r="3" spans="1:21" ht="65.55" customHeight="1" thickTop="1" thickBot="1" x14ac:dyDescent="0.3">
      <c r="A3" s="196" t="s">
        <v>25</v>
      </c>
      <c r="B3" s="26" t="s">
        <v>126</v>
      </c>
      <c r="C3" s="36" t="s">
        <v>127</v>
      </c>
      <c r="D3" s="40" t="s">
        <v>128</v>
      </c>
      <c r="E3" s="19" t="s">
        <v>129</v>
      </c>
      <c r="F3" s="20" t="s">
        <v>130</v>
      </c>
      <c r="G3" s="17" t="s">
        <v>131</v>
      </c>
      <c r="H3" s="19" t="s">
        <v>132</v>
      </c>
      <c r="I3" s="20" t="s">
        <v>133</v>
      </c>
      <c r="J3" s="66" t="s">
        <v>5</v>
      </c>
      <c r="K3" s="3" t="s">
        <v>113</v>
      </c>
      <c r="L3" s="4" t="s">
        <v>32</v>
      </c>
      <c r="M3" s="306"/>
      <c r="N3" s="305"/>
      <c r="O3" s="306"/>
      <c r="P3" s="306"/>
      <c r="Q3" s="306"/>
      <c r="R3" s="306"/>
      <c r="S3" s="306"/>
      <c r="T3" s="306"/>
      <c r="U3" s="307"/>
    </row>
    <row r="4" spans="1:21" ht="12.6" customHeight="1" thickTop="1" x14ac:dyDescent="0.25">
      <c r="A4" s="189" t="s">
        <v>33</v>
      </c>
      <c r="B4" s="27">
        <v>5</v>
      </c>
      <c r="C4" s="28">
        <v>6</v>
      </c>
      <c r="D4" s="29">
        <v>7</v>
      </c>
      <c r="E4" s="30">
        <v>8</v>
      </c>
      <c r="F4" s="29">
        <v>7</v>
      </c>
      <c r="G4" s="31">
        <v>9</v>
      </c>
      <c r="H4" s="30">
        <v>8</v>
      </c>
      <c r="I4" s="29">
        <v>7</v>
      </c>
      <c r="J4" s="2"/>
      <c r="K4" s="22"/>
      <c r="L4" s="23"/>
      <c r="M4" s="306"/>
      <c r="N4" s="308"/>
      <c r="O4" s="306"/>
      <c r="P4" s="306"/>
      <c r="Q4" s="306"/>
      <c r="R4" s="306"/>
      <c r="S4" s="306"/>
      <c r="T4" s="306"/>
      <c r="U4" s="307"/>
    </row>
    <row r="5" spans="1:21" ht="30" customHeight="1" x14ac:dyDescent="0.25">
      <c r="A5" s="198" t="str">
        <f>'Class List'!A5</f>
        <v>Student</v>
      </c>
      <c r="B5" s="199">
        <v>0</v>
      </c>
      <c r="C5" s="200">
        <v>0</v>
      </c>
      <c r="D5" s="200">
        <v>1</v>
      </c>
      <c r="E5" s="200">
        <v>1</v>
      </c>
      <c r="F5" s="200">
        <v>1</v>
      </c>
      <c r="G5" s="199">
        <v>1</v>
      </c>
      <c r="H5" s="199">
        <v>1</v>
      </c>
      <c r="I5" s="200">
        <v>1</v>
      </c>
      <c r="J5" s="197">
        <f>'Class List'!$C5</f>
        <v>9</v>
      </c>
      <c r="K5" s="194">
        <f>SUM(B5:I5)</f>
        <v>6</v>
      </c>
      <c r="L5" s="195" t="str">
        <f t="shared" ref="L5:L34" si="0">IFERROR(
   IF(K5 &lt;= INDEX($B$36:$B$46, MATCH(J5, $A$36:$A$46, 0)), "Beginning",
      IF(K5 &lt;= INDEX($C$36:$C$46, MATCH(J5, $A$36:$A$46, 0)), "Progressing",
         IF(K5 &lt;= INDEX($D$36:$D$46, MATCH(J5, $A$36:$A$46, 0)), "Achieving",
            IF(K5 &gt;= INDEX($E$36:$E$46, MATCH(J5, $A$36:$A$46, 0)), "Excelling", "Error")))),
   "Age Not Found")</f>
        <v>Beginning</v>
      </c>
      <c r="M5" s="306"/>
      <c r="N5" s="308"/>
      <c r="O5" s="306"/>
      <c r="P5" s="306"/>
      <c r="Q5" s="306"/>
      <c r="R5" s="306"/>
      <c r="S5" s="306"/>
      <c r="T5" s="306"/>
      <c r="U5" s="307"/>
    </row>
    <row r="6" spans="1:21" ht="30" customHeight="1" x14ac:dyDescent="0.25">
      <c r="A6" s="198" t="str">
        <f>'Class List'!A6</f>
        <v>Student</v>
      </c>
      <c r="B6" s="201">
        <v>0</v>
      </c>
      <c r="C6" s="202">
        <v>0</v>
      </c>
      <c r="D6" s="202">
        <v>0</v>
      </c>
      <c r="E6" s="202">
        <v>0</v>
      </c>
      <c r="F6" s="202">
        <v>0</v>
      </c>
      <c r="G6" s="201">
        <v>0</v>
      </c>
      <c r="H6" s="201">
        <v>0</v>
      </c>
      <c r="I6" s="202">
        <v>0</v>
      </c>
      <c r="J6" s="197">
        <f>'Class List'!$C6</f>
        <v>10</v>
      </c>
      <c r="K6" s="194">
        <f t="shared" ref="K6:K34" si="1">SUM(B6:I6)</f>
        <v>0</v>
      </c>
      <c r="L6" s="195" t="str">
        <f t="shared" si="0"/>
        <v>Beginning</v>
      </c>
      <c r="M6" s="306"/>
      <c r="N6" s="308"/>
      <c r="O6" s="306"/>
      <c r="P6" s="306"/>
      <c r="Q6" s="306"/>
      <c r="R6" s="306"/>
      <c r="S6" s="306"/>
      <c r="T6" s="306"/>
      <c r="U6" s="307"/>
    </row>
    <row r="7" spans="1:21" ht="30" customHeight="1" x14ac:dyDescent="0.25">
      <c r="A7" s="198" t="str">
        <f>'Class List'!A7</f>
        <v>Student</v>
      </c>
      <c r="B7" s="201">
        <v>0</v>
      </c>
      <c r="C7" s="202">
        <v>0</v>
      </c>
      <c r="D7" s="202">
        <v>0</v>
      </c>
      <c r="E7" s="202">
        <v>0</v>
      </c>
      <c r="F7" s="202">
        <v>0</v>
      </c>
      <c r="G7" s="201">
        <v>0</v>
      </c>
      <c r="H7" s="201">
        <v>0</v>
      </c>
      <c r="I7" s="202">
        <v>0</v>
      </c>
      <c r="J7" s="197">
        <f>'Class List'!$C7</f>
        <v>9</v>
      </c>
      <c r="K7" s="194">
        <f t="shared" si="1"/>
        <v>0</v>
      </c>
      <c r="L7" s="195" t="str">
        <f t="shared" si="0"/>
        <v>Beginning</v>
      </c>
      <c r="M7" s="306"/>
      <c r="N7" s="308"/>
      <c r="O7" s="306"/>
      <c r="P7" s="306"/>
      <c r="Q7" s="306"/>
      <c r="R7" s="306"/>
      <c r="S7" s="306"/>
      <c r="T7" s="306"/>
      <c r="U7" s="307"/>
    </row>
    <row r="8" spans="1:21" ht="30" customHeight="1" x14ac:dyDescent="0.25">
      <c r="A8" s="198" t="str">
        <f>'Class List'!A8</f>
        <v>Student</v>
      </c>
      <c r="B8" s="201">
        <v>0</v>
      </c>
      <c r="C8" s="202">
        <v>0</v>
      </c>
      <c r="D8" s="202">
        <v>0</v>
      </c>
      <c r="E8" s="202">
        <v>0</v>
      </c>
      <c r="F8" s="202">
        <v>0</v>
      </c>
      <c r="G8" s="201">
        <v>0</v>
      </c>
      <c r="H8" s="201">
        <v>0</v>
      </c>
      <c r="I8" s="202">
        <v>0</v>
      </c>
      <c r="J8" s="197">
        <f>'Class List'!$C8</f>
        <v>10</v>
      </c>
      <c r="K8" s="194">
        <f t="shared" si="1"/>
        <v>0</v>
      </c>
      <c r="L8" s="195" t="str">
        <f t="shared" si="0"/>
        <v>Beginning</v>
      </c>
      <c r="M8" s="306"/>
      <c r="N8" s="308"/>
      <c r="O8" s="306"/>
      <c r="P8" s="306"/>
      <c r="Q8" s="306"/>
      <c r="R8" s="306"/>
      <c r="S8" s="306"/>
      <c r="T8" s="306"/>
      <c r="U8" s="307"/>
    </row>
    <row r="9" spans="1:21" ht="30" customHeight="1" x14ac:dyDescent="0.25">
      <c r="A9" s="198" t="str">
        <f>'Class List'!A9</f>
        <v>Student</v>
      </c>
      <c r="B9" s="201">
        <v>0</v>
      </c>
      <c r="C9" s="202">
        <v>0</v>
      </c>
      <c r="D9" s="202">
        <v>0</v>
      </c>
      <c r="E9" s="202">
        <v>0</v>
      </c>
      <c r="F9" s="202">
        <v>0</v>
      </c>
      <c r="G9" s="201">
        <v>0</v>
      </c>
      <c r="H9" s="201">
        <v>0</v>
      </c>
      <c r="I9" s="202">
        <v>0</v>
      </c>
      <c r="J9" s="197">
        <f>'Class List'!$C9</f>
        <v>10</v>
      </c>
      <c r="K9" s="194">
        <f t="shared" si="1"/>
        <v>0</v>
      </c>
      <c r="L9" s="195" t="str">
        <f t="shared" si="0"/>
        <v>Beginning</v>
      </c>
      <c r="M9" s="306"/>
      <c r="N9" s="308"/>
      <c r="O9" s="306"/>
      <c r="P9" s="306"/>
      <c r="Q9" s="306"/>
      <c r="R9" s="306"/>
      <c r="S9" s="306"/>
      <c r="T9" s="306"/>
      <c r="U9" s="307"/>
    </row>
    <row r="10" spans="1:21" ht="30" customHeight="1" x14ac:dyDescent="0.25">
      <c r="A10" s="198" t="str">
        <f>'Class List'!A10</f>
        <v>Student</v>
      </c>
      <c r="B10" s="201">
        <v>0</v>
      </c>
      <c r="C10" s="202">
        <v>0</v>
      </c>
      <c r="D10" s="202">
        <v>0</v>
      </c>
      <c r="E10" s="202">
        <v>0</v>
      </c>
      <c r="F10" s="202">
        <v>0</v>
      </c>
      <c r="G10" s="201">
        <v>0</v>
      </c>
      <c r="H10" s="201">
        <v>0</v>
      </c>
      <c r="I10" s="202">
        <v>0</v>
      </c>
      <c r="J10" s="197">
        <f>'Class List'!$C10</f>
        <v>10</v>
      </c>
      <c r="K10" s="194">
        <f t="shared" si="1"/>
        <v>0</v>
      </c>
      <c r="L10" s="195" t="str">
        <f t="shared" si="0"/>
        <v>Beginning</v>
      </c>
      <c r="M10" s="306"/>
      <c r="N10" s="308"/>
      <c r="O10" s="306"/>
      <c r="P10" s="306"/>
      <c r="Q10" s="306"/>
      <c r="R10" s="306"/>
      <c r="S10" s="306"/>
      <c r="T10" s="306"/>
      <c r="U10" s="307"/>
    </row>
    <row r="11" spans="1:21" ht="30" customHeight="1" x14ac:dyDescent="0.25">
      <c r="A11" s="198" t="str">
        <f>'Class List'!A11</f>
        <v>Student</v>
      </c>
      <c r="B11" s="201">
        <v>0</v>
      </c>
      <c r="C11" s="202">
        <v>0</v>
      </c>
      <c r="D11" s="202">
        <v>0</v>
      </c>
      <c r="E11" s="202">
        <v>0</v>
      </c>
      <c r="F11" s="202">
        <v>0</v>
      </c>
      <c r="G11" s="201">
        <v>0</v>
      </c>
      <c r="H11" s="201">
        <v>0</v>
      </c>
      <c r="I11" s="202">
        <v>0</v>
      </c>
      <c r="J11" s="197">
        <f>'Class List'!$C11</f>
        <v>9</v>
      </c>
      <c r="K11" s="194">
        <f t="shared" si="1"/>
        <v>0</v>
      </c>
      <c r="L11" s="195" t="str">
        <f t="shared" si="0"/>
        <v>Beginning</v>
      </c>
      <c r="M11" s="306"/>
      <c r="N11" s="308"/>
      <c r="O11" s="306"/>
      <c r="P11" s="306"/>
      <c r="Q11" s="306"/>
      <c r="R11" s="306"/>
      <c r="S11" s="306"/>
      <c r="T11" s="306"/>
      <c r="U11" s="307"/>
    </row>
    <row r="12" spans="1:21" ht="30" customHeight="1" x14ac:dyDescent="0.25">
      <c r="A12" s="198" t="str">
        <f>'Class List'!A12</f>
        <v>Student</v>
      </c>
      <c r="B12" s="201">
        <v>0</v>
      </c>
      <c r="C12" s="202">
        <v>0</v>
      </c>
      <c r="D12" s="202">
        <v>0</v>
      </c>
      <c r="E12" s="202">
        <v>0</v>
      </c>
      <c r="F12" s="202">
        <v>0</v>
      </c>
      <c r="G12" s="201">
        <v>0</v>
      </c>
      <c r="H12" s="201">
        <v>0</v>
      </c>
      <c r="I12" s="202">
        <v>0</v>
      </c>
      <c r="J12" s="197">
        <f>'Class List'!$C12</f>
        <v>9</v>
      </c>
      <c r="K12" s="194">
        <f t="shared" si="1"/>
        <v>0</v>
      </c>
      <c r="L12" s="195" t="str">
        <f t="shared" si="0"/>
        <v>Beginning</v>
      </c>
      <c r="M12" s="306"/>
      <c r="N12" s="308"/>
      <c r="O12" s="306"/>
      <c r="P12" s="306"/>
      <c r="Q12" s="306"/>
      <c r="R12" s="306"/>
      <c r="S12" s="306"/>
      <c r="T12" s="306"/>
      <c r="U12" s="307"/>
    </row>
    <row r="13" spans="1:21" ht="30" customHeight="1" x14ac:dyDescent="0.25">
      <c r="A13" s="198" t="str">
        <f>'Class List'!A13</f>
        <v>Student</v>
      </c>
      <c r="B13" s="201">
        <v>0</v>
      </c>
      <c r="C13" s="202">
        <v>0</v>
      </c>
      <c r="D13" s="202">
        <v>0</v>
      </c>
      <c r="E13" s="202">
        <v>0</v>
      </c>
      <c r="F13" s="202">
        <v>0</v>
      </c>
      <c r="G13" s="201">
        <v>0</v>
      </c>
      <c r="H13" s="201">
        <v>0</v>
      </c>
      <c r="I13" s="202">
        <v>0</v>
      </c>
      <c r="J13" s="197">
        <f>'Class List'!$C13</f>
        <v>9</v>
      </c>
      <c r="K13" s="194">
        <f t="shared" si="1"/>
        <v>0</v>
      </c>
      <c r="L13" s="195" t="str">
        <f t="shared" si="0"/>
        <v>Beginning</v>
      </c>
      <c r="M13" s="306"/>
      <c r="N13" s="308"/>
      <c r="O13" s="306"/>
      <c r="P13" s="306"/>
      <c r="Q13" s="306"/>
      <c r="R13" s="306"/>
      <c r="S13" s="306"/>
      <c r="T13" s="306"/>
      <c r="U13" s="307"/>
    </row>
    <row r="14" spans="1:21" ht="30" customHeight="1" x14ac:dyDescent="0.25">
      <c r="A14" s="198" t="str">
        <f>'Class List'!A14</f>
        <v>Student</v>
      </c>
      <c r="B14" s="201">
        <v>0</v>
      </c>
      <c r="C14" s="202">
        <v>0</v>
      </c>
      <c r="D14" s="202">
        <v>0</v>
      </c>
      <c r="E14" s="202">
        <v>0</v>
      </c>
      <c r="F14" s="202">
        <v>0</v>
      </c>
      <c r="G14" s="201">
        <v>0</v>
      </c>
      <c r="H14" s="201">
        <v>0</v>
      </c>
      <c r="I14" s="202">
        <v>0</v>
      </c>
      <c r="J14" s="197">
        <f>'Class List'!$C14</f>
        <v>9</v>
      </c>
      <c r="K14" s="194">
        <f t="shared" si="1"/>
        <v>0</v>
      </c>
      <c r="L14" s="195" t="str">
        <f t="shared" si="0"/>
        <v>Beginning</v>
      </c>
      <c r="M14" s="306"/>
      <c r="N14" s="308"/>
      <c r="O14" s="306"/>
      <c r="P14" s="306"/>
      <c r="Q14" s="306"/>
      <c r="R14" s="306"/>
      <c r="S14" s="306"/>
      <c r="T14" s="306"/>
      <c r="U14" s="307"/>
    </row>
    <row r="15" spans="1:21" ht="30" customHeight="1" x14ac:dyDescent="0.25">
      <c r="A15" s="198" t="str">
        <f>'Class List'!A15</f>
        <v>Student</v>
      </c>
      <c r="B15" s="201">
        <v>0</v>
      </c>
      <c r="C15" s="202">
        <v>0</v>
      </c>
      <c r="D15" s="202">
        <v>0</v>
      </c>
      <c r="E15" s="202">
        <v>0</v>
      </c>
      <c r="F15" s="202">
        <v>0</v>
      </c>
      <c r="G15" s="201">
        <v>0</v>
      </c>
      <c r="H15" s="201">
        <v>0</v>
      </c>
      <c r="I15" s="202">
        <v>0</v>
      </c>
      <c r="J15" s="197">
        <f>'Class List'!$C15</f>
        <v>10</v>
      </c>
      <c r="K15" s="194">
        <f t="shared" si="1"/>
        <v>0</v>
      </c>
      <c r="L15" s="195" t="str">
        <f t="shared" si="0"/>
        <v>Beginning</v>
      </c>
      <c r="M15" s="306"/>
      <c r="N15" s="308"/>
      <c r="O15" s="306"/>
      <c r="P15" s="306"/>
      <c r="Q15" s="306"/>
      <c r="R15" s="306"/>
      <c r="S15" s="306"/>
      <c r="T15" s="306"/>
      <c r="U15" s="307"/>
    </row>
    <row r="16" spans="1:21" ht="30" customHeight="1" x14ac:dyDescent="0.25">
      <c r="A16" s="198" t="str">
        <f>'Class List'!A16</f>
        <v>Student</v>
      </c>
      <c r="B16" s="201">
        <v>0</v>
      </c>
      <c r="C16" s="202">
        <v>0</v>
      </c>
      <c r="D16" s="202">
        <v>0</v>
      </c>
      <c r="E16" s="202">
        <v>0</v>
      </c>
      <c r="F16" s="202">
        <v>0</v>
      </c>
      <c r="G16" s="201">
        <v>0</v>
      </c>
      <c r="H16" s="201">
        <v>0</v>
      </c>
      <c r="I16" s="202">
        <v>0</v>
      </c>
      <c r="J16" s="197">
        <f>'Class List'!$C16</f>
        <v>9</v>
      </c>
      <c r="K16" s="194">
        <f t="shared" si="1"/>
        <v>0</v>
      </c>
      <c r="L16" s="195" t="str">
        <f t="shared" si="0"/>
        <v>Beginning</v>
      </c>
      <c r="M16" s="306"/>
      <c r="N16" s="308"/>
      <c r="O16" s="306"/>
      <c r="P16" s="306"/>
      <c r="Q16" s="306"/>
      <c r="R16" s="306"/>
      <c r="S16" s="306"/>
      <c r="T16" s="306"/>
      <c r="U16" s="307"/>
    </row>
    <row r="17" spans="1:21" ht="30" customHeight="1" x14ac:dyDescent="0.25">
      <c r="A17" s="198" t="str">
        <f>'Class List'!A17</f>
        <v>Student</v>
      </c>
      <c r="B17" s="201">
        <v>0</v>
      </c>
      <c r="C17" s="202">
        <v>0</v>
      </c>
      <c r="D17" s="202">
        <v>0</v>
      </c>
      <c r="E17" s="202">
        <v>0</v>
      </c>
      <c r="F17" s="202">
        <v>0</v>
      </c>
      <c r="G17" s="201">
        <v>0</v>
      </c>
      <c r="H17" s="201">
        <v>0</v>
      </c>
      <c r="I17" s="202">
        <v>0</v>
      </c>
      <c r="J17" s="197">
        <f>'Class List'!$C17</f>
        <v>9</v>
      </c>
      <c r="K17" s="194">
        <f t="shared" si="1"/>
        <v>0</v>
      </c>
      <c r="L17" s="195" t="str">
        <f t="shared" si="0"/>
        <v>Beginning</v>
      </c>
      <c r="M17" s="306"/>
      <c r="N17" s="308"/>
      <c r="O17" s="306"/>
      <c r="P17" s="306"/>
      <c r="Q17" s="306"/>
      <c r="R17" s="306"/>
      <c r="S17" s="306"/>
      <c r="T17" s="306"/>
      <c r="U17" s="307"/>
    </row>
    <row r="18" spans="1:21" ht="30" customHeight="1" x14ac:dyDescent="0.25">
      <c r="A18" s="198" t="str">
        <f>'Class List'!A18</f>
        <v>Student</v>
      </c>
      <c r="B18" s="201">
        <v>0</v>
      </c>
      <c r="C18" s="202">
        <v>0</v>
      </c>
      <c r="D18" s="202">
        <v>0</v>
      </c>
      <c r="E18" s="202">
        <v>0</v>
      </c>
      <c r="F18" s="202">
        <v>0</v>
      </c>
      <c r="G18" s="201">
        <v>0</v>
      </c>
      <c r="H18" s="201">
        <v>0</v>
      </c>
      <c r="I18" s="202">
        <v>0</v>
      </c>
      <c r="J18" s="197">
        <f>'Class List'!$C18</f>
        <v>10</v>
      </c>
      <c r="K18" s="194">
        <f t="shared" si="1"/>
        <v>0</v>
      </c>
      <c r="L18" s="195" t="str">
        <f t="shared" si="0"/>
        <v>Beginning</v>
      </c>
      <c r="M18" s="306"/>
      <c r="N18" s="308"/>
      <c r="O18" s="306"/>
      <c r="P18" s="306"/>
      <c r="Q18" s="306"/>
      <c r="R18" s="306"/>
      <c r="S18" s="306"/>
      <c r="T18" s="306"/>
      <c r="U18" s="307"/>
    </row>
    <row r="19" spans="1:21" ht="30" customHeight="1" x14ac:dyDescent="0.25">
      <c r="A19" s="198" t="str">
        <f>'Class List'!A19</f>
        <v>Student</v>
      </c>
      <c r="B19" s="201">
        <v>0</v>
      </c>
      <c r="C19" s="202">
        <v>0</v>
      </c>
      <c r="D19" s="202">
        <v>0</v>
      </c>
      <c r="E19" s="202">
        <v>0</v>
      </c>
      <c r="F19" s="202">
        <v>0</v>
      </c>
      <c r="G19" s="201">
        <v>0</v>
      </c>
      <c r="H19" s="201">
        <v>0</v>
      </c>
      <c r="I19" s="202">
        <v>0</v>
      </c>
      <c r="J19" s="197">
        <f>'Class List'!$C19</f>
        <v>10</v>
      </c>
      <c r="K19" s="194">
        <f t="shared" si="1"/>
        <v>0</v>
      </c>
      <c r="L19" s="195" t="str">
        <f t="shared" si="0"/>
        <v>Beginning</v>
      </c>
      <c r="M19" s="306"/>
      <c r="N19" s="308"/>
      <c r="O19" s="306"/>
      <c r="P19" s="306"/>
      <c r="Q19" s="306"/>
      <c r="R19" s="306"/>
      <c r="S19" s="306"/>
      <c r="T19" s="306"/>
      <c r="U19" s="307"/>
    </row>
    <row r="20" spans="1:21" ht="30" customHeight="1" x14ac:dyDescent="0.25">
      <c r="A20" s="198" t="str">
        <f>'Class List'!A20</f>
        <v>Student</v>
      </c>
      <c r="B20" s="201">
        <v>0</v>
      </c>
      <c r="C20" s="202">
        <v>0</v>
      </c>
      <c r="D20" s="202">
        <v>0</v>
      </c>
      <c r="E20" s="202">
        <v>0</v>
      </c>
      <c r="F20" s="202">
        <v>0</v>
      </c>
      <c r="G20" s="201">
        <v>0</v>
      </c>
      <c r="H20" s="201">
        <v>0</v>
      </c>
      <c r="I20" s="202">
        <v>0</v>
      </c>
      <c r="J20" s="197">
        <f>'Class List'!$C20</f>
        <v>10</v>
      </c>
      <c r="K20" s="194">
        <f t="shared" si="1"/>
        <v>0</v>
      </c>
      <c r="L20" s="195" t="str">
        <f t="shared" si="0"/>
        <v>Beginning</v>
      </c>
      <c r="M20" s="306"/>
      <c r="N20" s="308"/>
      <c r="O20" s="306"/>
      <c r="P20" s="306"/>
      <c r="Q20" s="306"/>
      <c r="R20" s="306"/>
      <c r="S20" s="306"/>
      <c r="T20" s="306"/>
      <c r="U20" s="307"/>
    </row>
    <row r="21" spans="1:21" ht="30" customHeight="1" x14ac:dyDescent="0.25">
      <c r="A21" s="198" t="str">
        <f>'Class List'!A21</f>
        <v>Student</v>
      </c>
      <c r="B21" s="201">
        <v>0</v>
      </c>
      <c r="C21" s="202">
        <v>0</v>
      </c>
      <c r="D21" s="202">
        <v>0</v>
      </c>
      <c r="E21" s="202">
        <v>0</v>
      </c>
      <c r="F21" s="202">
        <v>0</v>
      </c>
      <c r="G21" s="201">
        <v>0</v>
      </c>
      <c r="H21" s="201">
        <v>0</v>
      </c>
      <c r="I21" s="202">
        <v>0</v>
      </c>
      <c r="J21" s="197">
        <f>'Class List'!$C21</f>
        <v>9</v>
      </c>
      <c r="K21" s="194">
        <f t="shared" si="1"/>
        <v>0</v>
      </c>
      <c r="L21" s="195" t="str">
        <f t="shared" si="0"/>
        <v>Beginning</v>
      </c>
      <c r="M21" s="306"/>
      <c r="N21" s="308"/>
      <c r="O21" s="306"/>
      <c r="P21" s="306"/>
      <c r="Q21" s="306"/>
      <c r="R21" s="306"/>
      <c r="S21" s="306"/>
      <c r="T21" s="306"/>
      <c r="U21" s="307"/>
    </row>
    <row r="22" spans="1:21" ht="30" customHeight="1" x14ac:dyDescent="0.25">
      <c r="A22" s="198" t="str">
        <f>'Class List'!A22</f>
        <v>Student</v>
      </c>
      <c r="B22" s="201">
        <v>0</v>
      </c>
      <c r="C22" s="202">
        <v>0</v>
      </c>
      <c r="D22" s="202">
        <v>0</v>
      </c>
      <c r="E22" s="202">
        <v>0</v>
      </c>
      <c r="F22" s="202">
        <v>0</v>
      </c>
      <c r="G22" s="201">
        <v>0</v>
      </c>
      <c r="H22" s="201">
        <v>0</v>
      </c>
      <c r="I22" s="202">
        <v>0</v>
      </c>
      <c r="J22" s="197">
        <f>'Class List'!$C22</f>
        <v>10</v>
      </c>
      <c r="K22" s="194">
        <f t="shared" si="1"/>
        <v>0</v>
      </c>
      <c r="L22" s="195" t="str">
        <f t="shared" si="0"/>
        <v>Beginning</v>
      </c>
      <c r="M22" s="306"/>
      <c r="N22" s="308"/>
      <c r="O22" s="306"/>
      <c r="P22" s="306"/>
      <c r="Q22" s="306"/>
      <c r="R22" s="306"/>
      <c r="S22" s="306"/>
      <c r="T22" s="306"/>
      <c r="U22" s="307"/>
    </row>
    <row r="23" spans="1:21" ht="30" customHeight="1" x14ac:dyDescent="0.25">
      <c r="A23" s="198" t="str">
        <f>'Class List'!A23</f>
        <v>Student</v>
      </c>
      <c r="B23" s="201">
        <v>0</v>
      </c>
      <c r="C23" s="202">
        <v>0</v>
      </c>
      <c r="D23" s="202">
        <v>0</v>
      </c>
      <c r="E23" s="202">
        <v>0</v>
      </c>
      <c r="F23" s="202">
        <v>0</v>
      </c>
      <c r="G23" s="201">
        <v>0</v>
      </c>
      <c r="H23" s="201">
        <v>0</v>
      </c>
      <c r="I23" s="202">
        <v>0</v>
      </c>
      <c r="J23" s="197">
        <f>'Class List'!$C23</f>
        <v>10</v>
      </c>
      <c r="K23" s="194">
        <f t="shared" si="1"/>
        <v>0</v>
      </c>
      <c r="L23" s="195" t="str">
        <f t="shared" si="0"/>
        <v>Beginning</v>
      </c>
      <c r="M23" s="306"/>
      <c r="N23" s="308"/>
      <c r="O23" s="306"/>
      <c r="P23" s="306"/>
      <c r="Q23" s="306"/>
      <c r="R23" s="306"/>
      <c r="S23" s="306"/>
      <c r="T23" s="306"/>
      <c r="U23" s="307"/>
    </row>
    <row r="24" spans="1:21" ht="30" customHeight="1" x14ac:dyDescent="0.25">
      <c r="A24" s="198" t="str">
        <f>'Class List'!A24</f>
        <v>Student</v>
      </c>
      <c r="B24" s="201">
        <v>0</v>
      </c>
      <c r="C24" s="202">
        <v>0</v>
      </c>
      <c r="D24" s="202">
        <v>0</v>
      </c>
      <c r="E24" s="202">
        <v>0</v>
      </c>
      <c r="F24" s="202">
        <v>0</v>
      </c>
      <c r="G24" s="201">
        <v>0</v>
      </c>
      <c r="H24" s="201">
        <v>0</v>
      </c>
      <c r="I24" s="202">
        <v>0</v>
      </c>
      <c r="J24" s="197">
        <f>'Class List'!$C24</f>
        <v>9</v>
      </c>
      <c r="K24" s="194">
        <f t="shared" si="1"/>
        <v>0</v>
      </c>
      <c r="L24" s="195" t="str">
        <f t="shared" si="0"/>
        <v>Beginning</v>
      </c>
      <c r="M24" s="306"/>
      <c r="N24" s="308"/>
      <c r="O24" s="306"/>
      <c r="P24" s="306"/>
      <c r="Q24" s="306"/>
      <c r="R24" s="306"/>
      <c r="S24" s="306"/>
      <c r="T24" s="306"/>
      <c r="U24" s="307"/>
    </row>
    <row r="25" spans="1:21" ht="30" customHeight="1" x14ac:dyDescent="0.25">
      <c r="A25" s="198" t="str">
        <f>'Class List'!A25</f>
        <v>Student</v>
      </c>
      <c r="B25" s="201">
        <v>0</v>
      </c>
      <c r="C25" s="202">
        <v>0</v>
      </c>
      <c r="D25" s="202">
        <v>0</v>
      </c>
      <c r="E25" s="202">
        <v>0</v>
      </c>
      <c r="F25" s="202">
        <v>0</v>
      </c>
      <c r="G25" s="201">
        <v>0</v>
      </c>
      <c r="H25" s="201">
        <v>0</v>
      </c>
      <c r="I25" s="202">
        <v>0</v>
      </c>
      <c r="J25" s="197">
        <f>'Class List'!$C25</f>
        <v>10</v>
      </c>
      <c r="K25" s="194">
        <f t="shared" si="1"/>
        <v>0</v>
      </c>
      <c r="L25" s="195" t="str">
        <f t="shared" si="0"/>
        <v>Beginning</v>
      </c>
      <c r="M25" s="306"/>
      <c r="N25" s="308"/>
      <c r="O25" s="306"/>
      <c r="P25" s="306"/>
      <c r="Q25" s="306"/>
      <c r="R25" s="306"/>
      <c r="S25" s="306"/>
      <c r="T25" s="306"/>
      <c r="U25" s="307"/>
    </row>
    <row r="26" spans="1:21" ht="30" customHeight="1" x14ac:dyDescent="0.25">
      <c r="A26" s="198" t="str">
        <f>'Class List'!A26</f>
        <v>Student</v>
      </c>
      <c r="B26" s="201">
        <v>0</v>
      </c>
      <c r="C26" s="202">
        <v>0</v>
      </c>
      <c r="D26" s="202">
        <v>0</v>
      </c>
      <c r="E26" s="202">
        <v>0</v>
      </c>
      <c r="F26" s="202">
        <v>0</v>
      </c>
      <c r="G26" s="201">
        <v>0</v>
      </c>
      <c r="H26" s="201">
        <v>0</v>
      </c>
      <c r="I26" s="202">
        <v>0</v>
      </c>
      <c r="J26" s="197">
        <f>'Class List'!$C26</f>
        <v>10</v>
      </c>
      <c r="K26" s="194">
        <f t="shared" si="1"/>
        <v>0</v>
      </c>
      <c r="L26" s="195" t="str">
        <f t="shared" si="0"/>
        <v>Beginning</v>
      </c>
      <c r="M26" s="306"/>
      <c r="N26" s="308"/>
      <c r="O26" s="306"/>
      <c r="P26" s="306"/>
      <c r="Q26" s="306"/>
      <c r="R26" s="306"/>
      <c r="S26" s="306"/>
      <c r="T26" s="306"/>
      <c r="U26" s="307"/>
    </row>
    <row r="27" spans="1:21" ht="30" customHeight="1" x14ac:dyDescent="0.25">
      <c r="A27" s="198" t="str">
        <f>'Class List'!A27</f>
        <v>Student</v>
      </c>
      <c r="B27" s="201">
        <v>0</v>
      </c>
      <c r="C27" s="202">
        <v>0</v>
      </c>
      <c r="D27" s="202">
        <v>0</v>
      </c>
      <c r="E27" s="202">
        <v>0</v>
      </c>
      <c r="F27" s="202">
        <v>0</v>
      </c>
      <c r="G27" s="201">
        <v>0</v>
      </c>
      <c r="H27" s="201">
        <v>0</v>
      </c>
      <c r="I27" s="202">
        <v>0</v>
      </c>
      <c r="J27" s="197">
        <f>'Class List'!$C27</f>
        <v>9</v>
      </c>
      <c r="K27" s="194">
        <f t="shared" si="1"/>
        <v>0</v>
      </c>
      <c r="L27" s="195" t="str">
        <f t="shared" si="0"/>
        <v>Beginning</v>
      </c>
      <c r="M27" s="306"/>
      <c r="N27" s="308"/>
      <c r="O27" s="306"/>
      <c r="P27" s="306"/>
      <c r="Q27" s="306"/>
      <c r="R27" s="306"/>
      <c r="S27" s="306"/>
      <c r="T27" s="306"/>
      <c r="U27" s="307"/>
    </row>
    <row r="28" spans="1:21" ht="30" customHeight="1" x14ac:dyDescent="0.25">
      <c r="A28" s="198" t="str">
        <f>'Class List'!A28</f>
        <v>Student</v>
      </c>
      <c r="B28" s="201">
        <v>0</v>
      </c>
      <c r="C28" s="202">
        <v>0</v>
      </c>
      <c r="D28" s="202">
        <v>0</v>
      </c>
      <c r="E28" s="202">
        <v>0</v>
      </c>
      <c r="F28" s="202">
        <v>0</v>
      </c>
      <c r="G28" s="201">
        <v>0</v>
      </c>
      <c r="H28" s="201">
        <v>0</v>
      </c>
      <c r="I28" s="202">
        <v>0</v>
      </c>
      <c r="J28" s="197">
        <f>'Class List'!$C28</f>
        <v>9</v>
      </c>
      <c r="K28" s="194">
        <f t="shared" si="1"/>
        <v>0</v>
      </c>
      <c r="L28" s="195" t="str">
        <f t="shared" si="0"/>
        <v>Beginning</v>
      </c>
      <c r="M28" s="306"/>
      <c r="N28" s="308"/>
      <c r="O28" s="306"/>
      <c r="P28" s="306"/>
      <c r="Q28" s="306"/>
      <c r="R28" s="306"/>
      <c r="S28" s="306"/>
      <c r="T28" s="306"/>
      <c r="U28" s="307"/>
    </row>
    <row r="29" spans="1:21" ht="30" customHeight="1" x14ac:dyDescent="0.25">
      <c r="A29" s="198" t="str">
        <f>'Class List'!A29</f>
        <v>Student</v>
      </c>
      <c r="B29" s="201">
        <v>0</v>
      </c>
      <c r="C29" s="202">
        <v>0</v>
      </c>
      <c r="D29" s="202">
        <v>0</v>
      </c>
      <c r="E29" s="202">
        <v>0</v>
      </c>
      <c r="F29" s="202">
        <v>0</v>
      </c>
      <c r="G29" s="201">
        <v>0</v>
      </c>
      <c r="H29" s="201">
        <v>0</v>
      </c>
      <c r="I29" s="202">
        <v>0</v>
      </c>
      <c r="J29" s="197">
        <f>'Class List'!$C29</f>
        <v>9</v>
      </c>
      <c r="K29" s="194">
        <f t="shared" si="1"/>
        <v>0</v>
      </c>
      <c r="L29" s="195" t="str">
        <f t="shared" si="0"/>
        <v>Beginning</v>
      </c>
      <c r="M29" s="306"/>
      <c r="N29" s="308"/>
      <c r="O29" s="306"/>
      <c r="P29" s="306"/>
      <c r="Q29" s="306"/>
      <c r="R29" s="306"/>
      <c r="S29" s="306"/>
      <c r="T29" s="306"/>
      <c r="U29" s="307"/>
    </row>
    <row r="30" spans="1:21" ht="30" customHeight="1" x14ac:dyDescent="0.25">
      <c r="A30" s="198" t="str">
        <f>'Class List'!A30</f>
        <v>Student</v>
      </c>
      <c r="B30" s="201">
        <v>0</v>
      </c>
      <c r="C30" s="202">
        <v>0</v>
      </c>
      <c r="D30" s="202">
        <v>0</v>
      </c>
      <c r="E30" s="202">
        <v>0</v>
      </c>
      <c r="F30" s="202">
        <v>0</v>
      </c>
      <c r="G30" s="201">
        <v>0</v>
      </c>
      <c r="H30" s="201">
        <v>0</v>
      </c>
      <c r="I30" s="202">
        <v>0</v>
      </c>
      <c r="J30" s="197">
        <f>'Class List'!$C30</f>
        <v>9</v>
      </c>
      <c r="K30" s="194">
        <f t="shared" si="1"/>
        <v>0</v>
      </c>
      <c r="L30" s="195" t="str">
        <f t="shared" si="0"/>
        <v>Beginning</v>
      </c>
      <c r="M30" s="306"/>
      <c r="N30" s="308"/>
      <c r="O30" s="306"/>
      <c r="P30" s="306"/>
      <c r="Q30" s="306"/>
      <c r="R30" s="306"/>
      <c r="S30" s="306"/>
      <c r="T30" s="306"/>
      <c r="U30" s="307"/>
    </row>
    <row r="31" spans="1:21" ht="30" customHeight="1" x14ac:dyDescent="0.25">
      <c r="A31" s="198">
        <f>'Class List'!A31</f>
        <v>0</v>
      </c>
      <c r="B31" s="201">
        <v>0</v>
      </c>
      <c r="C31" s="202">
        <v>0</v>
      </c>
      <c r="D31" s="202">
        <v>0</v>
      </c>
      <c r="E31" s="202">
        <v>0</v>
      </c>
      <c r="F31" s="202">
        <v>0</v>
      </c>
      <c r="G31" s="201">
        <v>0</v>
      </c>
      <c r="H31" s="201">
        <v>0</v>
      </c>
      <c r="I31" s="202">
        <v>0</v>
      </c>
      <c r="J31" s="197">
        <f>'Class List'!$C31</f>
        <v>0</v>
      </c>
      <c r="K31" s="194">
        <f t="shared" si="1"/>
        <v>0</v>
      </c>
      <c r="L31" s="195" t="str">
        <f t="shared" si="0"/>
        <v>Age Not Found</v>
      </c>
      <c r="M31" s="306"/>
      <c r="N31" s="308"/>
      <c r="O31" s="306"/>
      <c r="P31" s="306"/>
      <c r="Q31" s="306"/>
      <c r="R31" s="306"/>
      <c r="S31" s="306"/>
      <c r="T31" s="306"/>
      <c r="U31" s="307"/>
    </row>
    <row r="32" spans="1:21" ht="30" customHeight="1" x14ac:dyDescent="0.25">
      <c r="A32" s="198">
        <f>'Class List'!A32</f>
        <v>0</v>
      </c>
      <c r="B32" s="201">
        <v>0</v>
      </c>
      <c r="C32" s="202">
        <v>0</v>
      </c>
      <c r="D32" s="202">
        <v>0</v>
      </c>
      <c r="E32" s="202">
        <v>0</v>
      </c>
      <c r="F32" s="202">
        <v>0</v>
      </c>
      <c r="G32" s="201">
        <v>0</v>
      </c>
      <c r="H32" s="201">
        <v>0</v>
      </c>
      <c r="I32" s="202">
        <v>0</v>
      </c>
      <c r="J32" s="197">
        <f>'Class List'!$C32</f>
        <v>0</v>
      </c>
      <c r="K32" s="194">
        <f t="shared" si="1"/>
        <v>0</v>
      </c>
      <c r="L32" s="195" t="str">
        <f t="shared" si="0"/>
        <v>Age Not Found</v>
      </c>
      <c r="M32" s="306"/>
      <c r="N32" s="308"/>
      <c r="O32" s="306"/>
      <c r="P32" s="306"/>
      <c r="Q32" s="306"/>
      <c r="R32" s="306"/>
      <c r="S32" s="306"/>
      <c r="T32" s="306"/>
      <c r="U32" s="307"/>
    </row>
    <row r="33" spans="1:21" ht="30" customHeight="1" x14ac:dyDescent="0.25">
      <c r="A33" s="198">
        <f>'Class List'!A33</f>
        <v>0</v>
      </c>
      <c r="B33" s="201">
        <v>0</v>
      </c>
      <c r="C33" s="202">
        <v>0</v>
      </c>
      <c r="D33" s="202">
        <v>0</v>
      </c>
      <c r="E33" s="202">
        <v>0</v>
      </c>
      <c r="F33" s="202">
        <v>0</v>
      </c>
      <c r="G33" s="201">
        <v>0</v>
      </c>
      <c r="H33" s="201">
        <v>0</v>
      </c>
      <c r="I33" s="202">
        <v>0</v>
      </c>
      <c r="J33" s="197">
        <f>'Class List'!$C33</f>
        <v>0</v>
      </c>
      <c r="K33" s="194">
        <f t="shared" si="1"/>
        <v>0</v>
      </c>
      <c r="L33" s="195" t="str">
        <f t="shared" si="0"/>
        <v>Age Not Found</v>
      </c>
      <c r="M33" s="306"/>
      <c r="N33" s="308"/>
      <c r="O33" s="306"/>
      <c r="P33" s="306"/>
      <c r="Q33" s="306"/>
      <c r="R33" s="306"/>
      <c r="S33" s="306"/>
      <c r="T33" s="306"/>
      <c r="U33" s="307"/>
    </row>
    <row r="34" spans="1:21" ht="30" customHeight="1" thickBot="1" x14ac:dyDescent="0.3">
      <c r="A34" s="198">
        <f>'Class List'!A34</f>
        <v>0</v>
      </c>
      <c r="B34" s="203">
        <v>0</v>
      </c>
      <c r="C34" s="204">
        <v>0</v>
      </c>
      <c r="D34" s="204">
        <v>0</v>
      </c>
      <c r="E34" s="204">
        <v>0</v>
      </c>
      <c r="F34" s="204">
        <v>0</v>
      </c>
      <c r="G34" s="203">
        <v>0</v>
      </c>
      <c r="H34" s="203">
        <v>0</v>
      </c>
      <c r="I34" s="204">
        <v>0</v>
      </c>
      <c r="J34" s="197">
        <f>'Class List'!$C34</f>
        <v>0</v>
      </c>
      <c r="K34" s="194">
        <f t="shared" si="1"/>
        <v>0</v>
      </c>
      <c r="L34" s="195" t="str">
        <f t="shared" si="0"/>
        <v>Age Not Found</v>
      </c>
      <c r="M34" s="306"/>
      <c r="N34" s="308"/>
      <c r="O34" s="306"/>
      <c r="P34" s="306"/>
      <c r="Q34" s="306"/>
      <c r="R34" s="306"/>
      <c r="S34" s="306"/>
      <c r="T34" s="306"/>
      <c r="U34" s="307"/>
    </row>
    <row r="35" spans="1:21" ht="14.1" customHeight="1" thickTop="1" thickBot="1" x14ac:dyDescent="0.3">
      <c r="A35" s="191" t="s">
        <v>34</v>
      </c>
      <c r="B35" s="192">
        <f t="shared" ref="B35:I35" si="2">SUM(B5:B34)</f>
        <v>0</v>
      </c>
      <c r="C35" s="192">
        <f t="shared" si="2"/>
        <v>0</v>
      </c>
      <c r="D35" s="192">
        <f t="shared" si="2"/>
        <v>1</v>
      </c>
      <c r="E35" s="192">
        <f t="shared" si="2"/>
        <v>1</v>
      </c>
      <c r="F35" s="192">
        <f t="shared" si="2"/>
        <v>1</v>
      </c>
      <c r="G35" s="192">
        <f t="shared" si="2"/>
        <v>1</v>
      </c>
      <c r="H35" s="192">
        <f t="shared" si="2"/>
        <v>1</v>
      </c>
      <c r="I35" s="192">
        <f t="shared" si="2"/>
        <v>1</v>
      </c>
      <c r="J35" s="192"/>
      <c r="K35" s="192"/>
      <c r="L35" s="193"/>
      <c r="M35" s="306"/>
      <c r="N35" s="308"/>
      <c r="O35" s="306"/>
      <c r="P35" s="306"/>
      <c r="Q35" s="306"/>
      <c r="R35" s="306"/>
      <c r="S35" s="306"/>
      <c r="T35" s="306"/>
      <c r="U35" s="307"/>
    </row>
    <row r="36" spans="1:21" ht="16.05" customHeight="1" thickTop="1" x14ac:dyDescent="0.3">
      <c r="A36" s="327" t="s">
        <v>35</v>
      </c>
      <c r="B36" s="328"/>
      <c r="C36" s="328"/>
      <c r="D36" s="328"/>
      <c r="E36" s="329"/>
      <c r="F36" s="306"/>
      <c r="G36" s="306"/>
      <c r="H36" s="306"/>
      <c r="K36" s="340"/>
      <c r="L36" s="306"/>
      <c r="M36" s="306"/>
      <c r="N36" s="308"/>
      <c r="O36" s="306"/>
      <c r="P36" s="306"/>
      <c r="Q36" s="306"/>
      <c r="R36" s="306"/>
      <c r="S36" s="306"/>
      <c r="T36" s="306"/>
      <c r="U36" s="307"/>
    </row>
    <row r="37" spans="1:21" ht="13.05" customHeight="1" x14ac:dyDescent="0.25">
      <c r="A37" s="324"/>
      <c r="B37" s="325"/>
      <c r="C37" s="325"/>
      <c r="D37" s="325"/>
      <c r="E37" s="326"/>
      <c r="F37" s="306"/>
      <c r="G37" s="306"/>
      <c r="H37" s="306"/>
      <c r="K37" s="306"/>
      <c r="L37" s="306"/>
      <c r="M37" s="306"/>
      <c r="N37" s="308"/>
      <c r="O37" s="306"/>
      <c r="P37" s="306"/>
      <c r="Q37" s="306"/>
      <c r="R37" s="306"/>
      <c r="S37" s="306"/>
      <c r="T37" s="306"/>
      <c r="U37" s="307"/>
    </row>
    <row r="38" spans="1:21" ht="13.05" customHeight="1" x14ac:dyDescent="0.25">
      <c r="A38" s="5" t="s">
        <v>5</v>
      </c>
      <c r="B38" s="6" t="s">
        <v>37</v>
      </c>
      <c r="C38" s="6" t="s">
        <v>38</v>
      </c>
      <c r="D38" s="6" t="s">
        <v>39</v>
      </c>
      <c r="E38" s="7" t="s">
        <v>40</v>
      </c>
      <c r="F38" s="306"/>
      <c r="G38" s="306"/>
      <c r="H38" s="306"/>
      <c r="K38" s="8" t="s">
        <v>41</v>
      </c>
      <c r="L38" s="9"/>
      <c r="M38" s="306"/>
      <c r="N38" s="308"/>
      <c r="O38" s="306"/>
      <c r="P38" s="306"/>
      <c r="Q38" s="306"/>
      <c r="R38" s="306"/>
      <c r="S38" s="306"/>
      <c r="T38" s="306"/>
      <c r="U38" s="307"/>
    </row>
    <row r="39" spans="1:21" ht="12.6" customHeight="1" x14ac:dyDescent="0.25">
      <c r="A39" s="32">
        <v>5</v>
      </c>
      <c r="B39" s="10">
        <v>0</v>
      </c>
      <c r="C39" s="10">
        <v>0</v>
      </c>
      <c r="D39" s="10">
        <v>1</v>
      </c>
      <c r="E39" s="11">
        <v>2</v>
      </c>
      <c r="F39" s="306"/>
      <c r="G39" s="306"/>
      <c r="H39" s="306"/>
      <c r="K39" s="12" t="s">
        <v>42</v>
      </c>
      <c r="L39" s="13">
        <f>COUNTIF(L$5:L$34, "Beginning")</f>
        <v>26</v>
      </c>
      <c r="M39" s="306"/>
      <c r="N39" s="308"/>
      <c r="O39" s="306"/>
      <c r="P39" s="306"/>
      <c r="Q39" s="306"/>
      <c r="R39" s="306"/>
      <c r="S39" s="306"/>
      <c r="T39" s="306"/>
      <c r="U39" s="307"/>
    </row>
    <row r="40" spans="1:21" ht="12.6" customHeight="1" x14ac:dyDescent="0.25">
      <c r="A40" s="32">
        <v>6</v>
      </c>
      <c r="B40" s="10">
        <v>0</v>
      </c>
      <c r="C40" s="10">
        <v>1</v>
      </c>
      <c r="D40" s="10">
        <v>2</v>
      </c>
      <c r="E40" s="11">
        <v>3</v>
      </c>
      <c r="F40" s="306"/>
      <c r="G40" s="306"/>
      <c r="H40" s="306"/>
      <c r="K40" s="12" t="s">
        <v>38</v>
      </c>
      <c r="L40" s="13">
        <f>COUNTIF(L$5:L$34, "Progressing")</f>
        <v>0</v>
      </c>
      <c r="M40" s="306"/>
      <c r="N40" s="308"/>
      <c r="O40" s="306"/>
      <c r="P40" s="306"/>
      <c r="Q40" s="306"/>
      <c r="R40" s="306"/>
      <c r="S40" s="306"/>
      <c r="T40" s="306"/>
      <c r="U40" s="307"/>
    </row>
    <row r="41" spans="1:21" ht="12.6" customHeight="1" x14ac:dyDescent="0.25">
      <c r="A41" s="32">
        <v>7</v>
      </c>
      <c r="B41" s="10">
        <v>3</v>
      </c>
      <c r="C41" s="10">
        <v>4</v>
      </c>
      <c r="D41" s="10">
        <v>5</v>
      </c>
      <c r="E41" s="11">
        <v>6</v>
      </c>
      <c r="F41" s="306"/>
      <c r="G41" s="306"/>
      <c r="H41" s="306"/>
      <c r="K41" s="12" t="s">
        <v>43</v>
      </c>
      <c r="L41" s="13">
        <f>COUNTIF(L$5:L$34, "Achieving")</f>
        <v>0</v>
      </c>
      <c r="M41" s="306"/>
      <c r="N41" s="308"/>
      <c r="O41" s="306"/>
      <c r="P41" s="306"/>
      <c r="Q41" s="306"/>
      <c r="R41" s="306"/>
      <c r="S41" s="306"/>
      <c r="T41" s="306"/>
      <c r="U41" s="307"/>
    </row>
    <row r="42" spans="1:21" ht="12.6" customHeight="1" x14ac:dyDescent="0.25">
      <c r="A42" s="32">
        <v>8</v>
      </c>
      <c r="B42" s="10">
        <v>5</v>
      </c>
      <c r="C42" s="10">
        <v>6</v>
      </c>
      <c r="D42" s="10">
        <v>7</v>
      </c>
      <c r="E42" s="11">
        <v>8</v>
      </c>
      <c r="F42" s="306"/>
      <c r="G42" s="306"/>
      <c r="H42" s="306"/>
      <c r="K42" s="12" t="s">
        <v>40</v>
      </c>
      <c r="L42" s="13">
        <f>COUNTIF(L$5:L$34, "Excelling")</f>
        <v>0</v>
      </c>
      <c r="M42" s="306"/>
      <c r="N42" s="308"/>
      <c r="O42" s="306"/>
      <c r="P42" s="306"/>
      <c r="Q42" s="306"/>
      <c r="R42" s="306"/>
      <c r="S42" s="306"/>
      <c r="T42" s="306"/>
      <c r="U42" s="307"/>
    </row>
    <row r="43" spans="1:21" ht="12.6" customHeight="1" x14ac:dyDescent="0.25">
      <c r="A43" s="33">
        <v>9</v>
      </c>
      <c r="B43" s="10">
        <v>6</v>
      </c>
      <c r="C43" s="10">
        <v>7</v>
      </c>
      <c r="D43" s="10">
        <v>8</v>
      </c>
      <c r="E43" s="11">
        <v>9</v>
      </c>
      <c r="F43" s="306"/>
      <c r="G43" s="306"/>
      <c r="H43" s="306"/>
      <c r="K43" s="306"/>
      <c r="L43" s="306"/>
      <c r="M43" s="306"/>
      <c r="N43" s="308"/>
      <c r="O43" s="306"/>
      <c r="P43" s="306"/>
      <c r="Q43" s="306"/>
      <c r="R43" s="306"/>
      <c r="S43" s="306"/>
      <c r="T43" s="306"/>
      <c r="U43" s="307"/>
    </row>
    <row r="44" spans="1:21" ht="12.6" customHeight="1" x14ac:dyDescent="0.25">
      <c r="A44" s="32">
        <v>10</v>
      </c>
      <c r="B44" s="10">
        <v>6</v>
      </c>
      <c r="C44" s="10">
        <v>7</v>
      </c>
      <c r="D44" s="10">
        <v>8</v>
      </c>
      <c r="E44" s="11">
        <v>9</v>
      </c>
      <c r="F44" s="306"/>
      <c r="G44" s="306"/>
      <c r="H44" s="306"/>
      <c r="K44" s="306"/>
      <c r="L44" s="306"/>
      <c r="M44" s="306"/>
      <c r="N44" s="309"/>
      <c r="O44" s="310"/>
      <c r="P44" s="310"/>
      <c r="Q44" s="310"/>
      <c r="R44" s="310"/>
      <c r="S44" s="310"/>
      <c r="T44" s="310"/>
      <c r="U44" s="311"/>
    </row>
    <row r="45" spans="1:21" ht="13.05" customHeight="1" thickTop="1" x14ac:dyDescent="0.25">
      <c r="A45" s="32">
        <v>11</v>
      </c>
      <c r="B45" s="10">
        <v>6</v>
      </c>
      <c r="C45" s="10">
        <v>7</v>
      </c>
      <c r="D45" s="10">
        <v>8</v>
      </c>
      <c r="E45" s="11">
        <v>9</v>
      </c>
      <c r="F45" s="306"/>
      <c r="G45" s="306"/>
      <c r="H45" s="306"/>
      <c r="K45" s="306"/>
      <c r="L45" s="306"/>
      <c r="M45" s="306"/>
      <c r="N45" s="306"/>
      <c r="O45" s="306"/>
      <c r="P45" s="306"/>
      <c r="Q45" s="306"/>
      <c r="R45" s="306"/>
      <c r="S45" s="306"/>
      <c r="T45" s="306"/>
      <c r="U45" s="306"/>
    </row>
    <row r="46" spans="1:21" ht="13.05" customHeight="1" thickBot="1" x14ac:dyDescent="0.3">
      <c r="A46" s="34">
        <v>12</v>
      </c>
      <c r="B46" s="46">
        <v>6</v>
      </c>
      <c r="C46" s="61" t="s">
        <v>134</v>
      </c>
      <c r="D46" s="14">
        <v>8</v>
      </c>
      <c r="E46" s="15">
        <v>9</v>
      </c>
      <c r="F46" s="306"/>
      <c r="G46" s="306"/>
      <c r="H46" s="306"/>
      <c r="K46" s="306"/>
      <c r="L46" s="306"/>
      <c r="M46" s="306"/>
      <c r="N46" s="306"/>
      <c r="O46" s="306"/>
      <c r="P46" s="306"/>
      <c r="Q46" s="306"/>
      <c r="R46" s="306"/>
      <c r="S46" s="306"/>
      <c r="T46" s="306"/>
      <c r="U46" s="306"/>
    </row>
    <row r="47" spans="1:21" ht="15.75" customHeight="1" thickTop="1" x14ac:dyDescent="0.25"/>
    <row r="48" spans="1:21" ht="12.6" customHeight="1" x14ac:dyDescent="0.25">
      <c r="A48" s="16" t="s">
        <v>44</v>
      </c>
    </row>
    <row r="49" spans="1:7" ht="12.6" customHeight="1" x14ac:dyDescent="0.25">
      <c r="A49" s="16" t="s">
        <v>42</v>
      </c>
      <c r="G49" s="25" t="s">
        <v>45</v>
      </c>
    </row>
    <row r="50" spans="1:7" ht="12.6" customHeight="1" x14ac:dyDescent="0.25">
      <c r="A50" s="16" t="s">
        <v>38</v>
      </c>
    </row>
    <row r="51" spans="1:7" ht="12.6" customHeight="1" x14ac:dyDescent="0.25">
      <c r="A51" s="16" t="s">
        <v>39</v>
      </c>
    </row>
    <row r="52" spans="1:7" ht="12.6" customHeight="1" x14ac:dyDescent="0.25">
      <c r="A52" s="16" t="s">
        <v>40</v>
      </c>
    </row>
  </sheetData>
  <mergeCells count="15">
    <mergeCell ref="A2:B2"/>
    <mergeCell ref="C2:G2"/>
    <mergeCell ref="A1:L1"/>
    <mergeCell ref="M1:M46"/>
    <mergeCell ref="N1:U1"/>
    <mergeCell ref="N2:Q2"/>
    <mergeCell ref="N45:U46"/>
    <mergeCell ref="R2:U2"/>
    <mergeCell ref="N3:U44"/>
    <mergeCell ref="A36:E36"/>
    <mergeCell ref="F36:H46"/>
    <mergeCell ref="A37:E37"/>
    <mergeCell ref="K36:L37"/>
    <mergeCell ref="K43:L46"/>
    <mergeCell ref="H2:L2"/>
  </mergeCells>
  <conditionalFormatting sqref="L5:L34">
    <cfRule type="containsText" dxfId="74" priority="1" operator="containsText" text="Error">
      <formula>NOT(ISERROR(SEARCH("Error",L5)))</formula>
    </cfRule>
    <cfRule type="containsText" dxfId="73" priority="2" operator="containsText" text="Age Not Found">
      <formula>NOT(ISERROR(SEARCH("Age Not Found",L5)))</formula>
    </cfRule>
    <cfRule type="containsText" dxfId="72" priority="3" operator="containsText" text="Beginning">
      <formula>NOT(ISERROR(SEARCH("Beginning",L5)))</formula>
    </cfRule>
    <cfRule type="containsText" dxfId="71" priority="4" operator="containsText" text="Progressing">
      <formula>NOT(ISERROR(SEARCH("Progressing",L5)))</formula>
    </cfRule>
    <cfRule type="containsText" dxfId="70" priority="5" operator="containsText" text="Achieving">
      <formula>NOT(ISERROR(SEARCH("Achieving",L5)))</formula>
    </cfRule>
    <cfRule type="containsText" dxfId="69" priority="6" operator="containsText" text="Excelling">
      <formula>NOT(ISERROR(SEARCH("Excelling",L5)))</formula>
    </cfRule>
  </conditionalFormatting>
  <dataValidations count="2">
    <dataValidation type="list" allowBlank="1" showInputMessage="1" showErrorMessage="1" sqref="L5:L34" xr:uid="{00000000-0002-0000-0900-000000000000}">
      <formula1>$A$48:$A$52</formula1>
    </dataValidation>
    <dataValidation type="list" allowBlank="1" showInputMessage="1" showErrorMessage="1" sqref="B5:I34" xr:uid="{1BA1576C-8275-49A2-A9E7-A6D0F4A61316}">
      <formula1>"1, 0"</formula1>
    </dataValidation>
  </dataValidations>
  <pageMargins left="0.7" right="0.7" top="0.75" bottom="0.75" header="0.3" footer="0.3"/>
  <pageSetup orientation="portrait"/>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9"/>
    <outlinePr summaryBelow="0" summaryRight="0"/>
  </sheetPr>
  <dimension ref="A1:T58"/>
  <sheetViews>
    <sheetView showGridLines="0" zoomScale="55" zoomScaleNormal="55" workbookViewId="0">
      <pane xSplit="1" ySplit="3" topLeftCell="B4" activePane="bottomRight" state="frozen"/>
      <selection activeCell="J5" sqref="J5:J34"/>
      <selection pane="topRight" activeCell="J5" sqref="J5:J34"/>
      <selection pane="bottomLeft" activeCell="J5" sqref="J5:J34"/>
      <selection pane="bottomRight" activeCell="I5" sqref="I5:K34"/>
    </sheetView>
  </sheetViews>
  <sheetFormatPr defaultColWidth="12.5546875" defaultRowHeight="15.75" customHeight="1" x14ac:dyDescent="0.25"/>
  <cols>
    <col min="1" max="1" width="27" customWidth="1"/>
    <col min="2" max="8" width="27.21875" customWidth="1"/>
    <col min="9" max="9" width="13.21875" customWidth="1"/>
    <col min="20" max="20" width="28.5546875" customWidth="1"/>
  </cols>
  <sheetData>
    <row r="1" spans="1:20" ht="36" customHeight="1" thickTop="1" thickBot="1" x14ac:dyDescent="0.8">
      <c r="A1" s="379" t="s">
        <v>135</v>
      </c>
      <c r="B1" s="313"/>
      <c r="C1" s="313"/>
      <c r="D1" s="313"/>
      <c r="E1" s="313"/>
      <c r="F1" s="313"/>
      <c r="G1" s="313"/>
      <c r="H1" s="313"/>
      <c r="I1" s="313"/>
      <c r="J1" s="313"/>
      <c r="K1" s="313"/>
      <c r="L1" s="380"/>
      <c r="M1" s="315" t="s">
        <v>20</v>
      </c>
      <c r="N1" s="316"/>
      <c r="O1" s="316"/>
      <c r="P1" s="316"/>
      <c r="Q1" s="316"/>
      <c r="R1" s="316"/>
      <c r="S1" s="316"/>
      <c r="T1" s="317"/>
    </row>
    <row r="2" spans="1:20" ht="55.8" customHeight="1" thickTop="1" thickBot="1" x14ac:dyDescent="0.55000000000000004">
      <c r="A2" s="375" t="s">
        <v>136</v>
      </c>
      <c r="B2" s="377"/>
      <c r="C2" s="378" t="s">
        <v>137</v>
      </c>
      <c r="D2" s="376"/>
      <c r="E2" s="376"/>
      <c r="F2" s="376"/>
      <c r="G2" s="375" t="s">
        <v>138</v>
      </c>
      <c r="H2" s="376"/>
      <c r="I2" s="376"/>
      <c r="J2" s="376"/>
      <c r="K2" s="377"/>
      <c r="L2" s="380"/>
      <c r="M2" s="318" t="s">
        <v>24</v>
      </c>
      <c r="N2" s="319"/>
      <c r="O2" s="319"/>
      <c r="P2" s="320"/>
      <c r="Q2" s="321"/>
      <c r="R2" s="322"/>
      <c r="S2" s="322"/>
      <c r="T2" s="323"/>
    </row>
    <row r="3" spans="1:20" ht="65.55" customHeight="1" thickTop="1" thickBot="1" x14ac:dyDescent="0.3">
      <c r="A3" s="207" t="s">
        <v>25</v>
      </c>
      <c r="B3" s="26" t="s">
        <v>126</v>
      </c>
      <c r="C3" s="36" t="s">
        <v>139</v>
      </c>
      <c r="D3" s="20" t="s">
        <v>140</v>
      </c>
      <c r="E3" s="19" t="s">
        <v>141</v>
      </c>
      <c r="F3" s="20" t="s">
        <v>142</v>
      </c>
      <c r="G3" s="17" t="s">
        <v>143</v>
      </c>
      <c r="H3" s="19" t="s">
        <v>144</v>
      </c>
      <c r="I3" s="66" t="s">
        <v>5</v>
      </c>
      <c r="J3" s="55" t="s">
        <v>101</v>
      </c>
      <c r="K3" s="56" t="s">
        <v>32</v>
      </c>
      <c r="L3" s="306"/>
      <c r="M3" s="305"/>
      <c r="N3" s="306"/>
      <c r="O3" s="306"/>
      <c r="P3" s="306"/>
      <c r="Q3" s="306"/>
      <c r="R3" s="306"/>
      <c r="S3" s="306"/>
      <c r="T3" s="307"/>
    </row>
    <row r="4" spans="1:20" ht="13.05" customHeight="1" thickTop="1" x14ac:dyDescent="0.25">
      <c r="A4" s="189" t="s">
        <v>33</v>
      </c>
      <c r="B4" s="27">
        <v>5</v>
      </c>
      <c r="C4" s="28">
        <v>6</v>
      </c>
      <c r="D4" s="29">
        <v>7</v>
      </c>
      <c r="E4" s="30">
        <v>8</v>
      </c>
      <c r="F4" s="29">
        <v>7</v>
      </c>
      <c r="G4" s="31">
        <v>9</v>
      </c>
      <c r="H4" s="30">
        <v>8</v>
      </c>
      <c r="I4" s="2"/>
      <c r="J4" s="22"/>
      <c r="K4" s="56"/>
      <c r="L4" s="306"/>
      <c r="M4" s="308"/>
      <c r="N4" s="306"/>
      <c r="O4" s="306"/>
      <c r="P4" s="306"/>
      <c r="Q4" s="306"/>
      <c r="R4" s="306"/>
      <c r="S4" s="306"/>
      <c r="T4" s="307"/>
    </row>
    <row r="5" spans="1:20" ht="30" customHeight="1" x14ac:dyDescent="0.25">
      <c r="A5" s="198" t="str">
        <f>'Class List'!A5</f>
        <v>Student</v>
      </c>
      <c r="B5" s="199">
        <v>1</v>
      </c>
      <c r="C5" s="200">
        <v>0</v>
      </c>
      <c r="D5" s="200">
        <v>0</v>
      </c>
      <c r="E5" s="200">
        <v>0</v>
      </c>
      <c r="F5" s="200">
        <v>0</v>
      </c>
      <c r="G5" s="199">
        <v>0</v>
      </c>
      <c r="H5" s="199">
        <v>0</v>
      </c>
      <c r="I5" s="197">
        <f>'Class List'!$C5</f>
        <v>9</v>
      </c>
      <c r="J5" s="194">
        <f t="shared" ref="J5:J34" si="0">SUM(B5:H5)</f>
        <v>1</v>
      </c>
      <c r="K5" s="195" t="str">
        <f>IFERROR(
   IF(J5 &lt;= INDEX($B$36:$B$46, MATCH(I5, $A$36:$A$46, 0)), "Beginning",
      IF(J5 &lt;= INDEX($C$36:$C$46, MATCH(I5, $A$36:$A$46, 0)), "Progressing",
         IF(J5 &lt;= INDEX($D$36:$D$46, MATCH(I5, $A$36:$A$46, 0)), "Achieving",
            IF(J5 &gt;= INDEX($E$36:$E$46, MATCH(I5, $A$36:$A$46, 0)), "Excelling", "Error")))),
   "Age Not Found")</f>
        <v>Beginning</v>
      </c>
      <c r="L5" s="306"/>
      <c r="M5" s="308"/>
      <c r="N5" s="306"/>
      <c r="O5" s="306"/>
      <c r="P5" s="306"/>
      <c r="Q5" s="306"/>
      <c r="R5" s="306"/>
      <c r="S5" s="306"/>
      <c r="T5" s="307"/>
    </row>
    <row r="6" spans="1:20" ht="30" customHeight="1" x14ac:dyDescent="0.25">
      <c r="A6" s="198" t="str">
        <f>'Class List'!A6</f>
        <v>Student</v>
      </c>
      <c r="B6" s="201">
        <v>0</v>
      </c>
      <c r="C6" s="202">
        <v>0</v>
      </c>
      <c r="D6" s="202">
        <v>0</v>
      </c>
      <c r="E6" s="202">
        <v>0</v>
      </c>
      <c r="F6" s="202">
        <v>0</v>
      </c>
      <c r="G6" s="201">
        <v>0</v>
      </c>
      <c r="H6" s="201">
        <v>0</v>
      </c>
      <c r="I6" s="197">
        <f>'Class List'!$C6</f>
        <v>10</v>
      </c>
      <c r="J6" s="194">
        <f t="shared" si="0"/>
        <v>0</v>
      </c>
      <c r="K6" s="195" t="str">
        <f t="shared" ref="K6:K34" si="1">IFERROR(
   IF(J6 &lt;= INDEX($B$36:$B$46, MATCH(I6, $A$36:$A$46, 0)), "Beginning",
      IF(J6 &lt;= INDEX($C$36:$C$46, MATCH(I6, $A$36:$A$46, 0)), "Progressing",
         IF(J6 &lt;= INDEX($D$36:$D$46, MATCH(I6, $A$36:$A$46, 0)), "Achieving",
            IF(J6 &gt;= INDEX($E$36:$E$46, MATCH(I6, $A$36:$A$46, 0)), "Excelling", "Error")))),
   "Age Not Found")</f>
        <v>Beginning</v>
      </c>
      <c r="L6" s="306"/>
      <c r="M6" s="308"/>
      <c r="N6" s="306"/>
      <c r="O6" s="306"/>
      <c r="P6" s="306"/>
      <c r="Q6" s="306"/>
      <c r="R6" s="306"/>
      <c r="S6" s="306"/>
      <c r="T6" s="307"/>
    </row>
    <row r="7" spans="1:20" ht="30" customHeight="1" x14ac:dyDescent="0.25">
      <c r="A7" s="198" t="str">
        <f>'Class List'!A7</f>
        <v>Student</v>
      </c>
      <c r="B7" s="201">
        <v>0</v>
      </c>
      <c r="C7" s="202">
        <v>0</v>
      </c>
      <c r="D7" s="202">
        <v>0</v>
      </c>
      <c r="E7" s="202">
        <v>0</v>
      </c>
      <c r="F7" s="202">
        <v>0</v>
      </c>
      <c r="G7" s="201">
        <v>0</v>
      </c>
      <c r="H7" s="201">
        <v>0</v>
      </c>
      <c r="I7" s="197">
        <f>'Class List'!$C7</f>
        <v>9</v>
      </c>
      <c r="J7" s="194">
        <f t="shared" si="0"/>
        <v>0</v>
      </c>
      <c r="K7" s="195" t="str">
        <f t="shared" si="1"/>
        <v>Beginning</v>
      </c>
      <c r="L7" s="306"/>
      <c r="M7" s="308"/>
      <c r="N7" s="306"/>
      <c r="O7" s="306"/>
      <c r="P7" s="306"/>
      <c r="Q7" s="306"/>
      <c r="R7" s="306"/>
      <c r="S7" s="306"/>
      <c r="T7" s="307"/>
    </row>
    <row r="8" spans="1:20" ht="30" customHeight="1" x14ac:dyDescent="0.25">
      <c r="A8" s="198" t="str">
        <f>'Class List'!A8</f>
        <v>Student</v>
      </c>
      <c r="B8" s="201">
        <v>0</v>
      </c>
      <c r="C8" s="202">
        <v>0</v>
      </c>
      <c r="D8" s="202">
        <v>0</v>
      </c>
      <c r="E8" s="202">
        <v>0</v>
      </c>
      <c r="F8" s="202">
        <v>0</v>
      </c>
      <c r="G8" s="201">
        <v>0</v>
      </c>
      <c r="H8" s="201">
        <v>0</v>
      </c>
      <c r="I8" s="197">
        <f>'Class List'!$C8</f>
        <v>10</v>
      </c>
      <c r="J8" s="194">
        <f t="shared" si="0"/>
        <v>0</v>
      </c>
      <c r="K8" s="195" t="str">
        <f t="shared" si="1"/>
        <v>Beginning</v>
      </c>
      <c r="L8" s="306"/>
      <c r="M8" s="308"/>
      <c r="N8" s="306"/>
      <c r="O8" s="306"/>
      <c r="P8" s="306"/>
      <c r="Q8" s="306"/>
      <c r="R8" s="306"/>
      <c r="S8" s="306"/>
      <c r="T8" s="307"/>
    </row>
    <row r="9" spans="1:20" ht="30" customHeight="1" x14ac:dyDescent="0.25">
      <c r="A9" s="198" t="str">
        <f>'Class List'!A9</f>
        <v>Student</v>
      </c>
      <c r="B9" s="201">
        <v>0</v>
      </c>
      <c r="C9" s="202">
        <v>0</v>
      </c>
      <c r="D9" s="202">
        <v>0</v>
      </c>
      <c r="E9" s="202">
        <v>0</v>
      </c>
      <c r="F9" s="202">
        <v>0</v>
      </c>
      <c r="G9" s="201">
        <v>0</v>
      </c>
      <c r="H9" s="201">
        <v>0</v>
      </c>
      <c r="I9" s="197">
        <f>'Class List'!$C9</f>
        <v>10</v>
      </c>
      <c r="J9" s="194">
        <f t="shared" si="0"/>
        <v>0</v>
      </c>
      <c r="K9" s="195" t="str">
        <f t="shared" si="1"/>
        <v>Beginning</v>
      </c>
      <c r="L9" s="306"/>
      <c r="M9" s="308"/>
      <c r="N9" s="306"/>
      <c r="O9" s="306"/>
      <c r="P9" s="306"/>
      <c r="Q9" s="306"/>
      <c r="R9" s="306"/>
      <c r="S9" s="306"/>
      <c r="T9" s="307"/>
    </row>
    <row r="10" spans="1:20" ht="30" customHeight="1" x14ac:dyDescent="0.25">
      <c r="A10" s="198" t="str">
        <f>'Class List'!A10</f>
        <v>Student</v>
      </c>
      <c r="B10" s="201">
        <v>0</v>
      </c>
      <c r="C10" s="202">
        <v>0</v>
      </c>
      <c r="D10" s="202">
        <v>0</v>
      </c>
      <c r="E10" s="202">
        <v>0</v>
      </c>
      <c r="F10" s="202">
        <v>0</v>
      </c>
      <c r="G10" s="201">
        <v>0</v>
      </c>
      <c r="H10" s="201">
        <v>0</v>
      </c>
      <c r="I10" s="197">
        <f>'Class List'!$C10</f>
        <v>10</v>
      </c>
      <c r="J10" s="194">
        <f t="shared" si="0"/>
        <v>0</v>
      </c>
      <c r="K10" s="195" t="str">
        <f t="shared" si="1"/>
        <v>Beginning</v>
      </c>
      <c r="L10" s="306"/>
      <c r="M10" s="308"/>
      <c r="N10" s="306"/>
      <c r="O10" s="306"/>
      <c r="P10" s="306"/>
      <c r="Q10" s="306"/>
      <c r="R10" s="306"/>
      <c r="S10" s="306"/>
      <c r="T10" s="307"/>
    </row>
    <row r="11" spans="1:20" ht="30" customHeight="1" x14ac:dyDescent="0.25">
      <c r="A11" s="198" t="str">
        <f>'Class List'!A11</f>
        <v>Student</v>
      </c>
      <c r="B11" s="201">
        <v>0</v>
      </c>
      <c r="C11" s="202">
        <v>0</v>
      </c>
      <c r="D11" s="202">
        <v>0</v>
      </c>
      <c r="E11" s="202">
        <v>0</v>
      </c>
      <c r="F11" s="202">
        <v>0</v>
      </c>
      <c r="G11" s="201">
        <v>0</v>
      </c>
      <c r="H11" s="201">
        <v>0</v>
      </c>
      <c r="I11" s="197">
        <f>'Class List'!$C11</f>
        <v>9</v>
      </c>
      <c r="J11" s="194">
        <f t="shared" si="0"/>
        <v>0</v>
      </c>
      <c r="K11" s="195" t="str">
        <f t="shared" si="1"/>
        <v>Beginning</v>
      </c>
      <c r="L11" s="306"/>
      <c r="M11" s="308"/>
      <c r="N11" s="306"/>
      <c r="O11" s="306"/>
      <c r="P11" s="306"/>
      <c r="Q11" s="306"/>
      <c r="R11" s="306"/>
      <c r="S11" s="306"/>
      <c r="T11" s="307"/>
    </row>
    <row r="12" spans="1:20" ht="30" customHeight="1" x14ac:dyDescent="0.25">
      <c r="A12" s="198" t="str">
        <f>'Class List'!A12</f>
        <v>Student</v>
      </c>
      <c r="B12" s="201">
        <v>0</v>
      </c>
      <c r="C12" s="202">
        <v>0</v>
      </c>
      <c r="D12" s="202">
        <v>0</v>
      </c>
      <c r="E12" s="202">
        <v>0</v>
      </c>
      <c r="F12" s="202">
        <v>0</v>
      </c>
      <c r="G12" s="201">
        <v>0</v>
      </c>
      <c r="H12" s="201">
        <v>0</v>
      </c>
      <c r="I12" s="197">
        <f>'Class List'!$C12</f>
        <v>9</v>
      </c>
      <c r="J12" s="194">
        <f t="shared" si="0"/>
        <v>0</v>
      </c>
      <c r="K12" s="195" t="str">
        <f t="shared" si="1"/>
        <v>Beginning</v>
      </c>
      <c r="L12" s="306"/>
      <c r="M12" s="308"/>
      <c r="N12" s="306"/>
      <c r="O12" s="306"/>
      <c r="P12" s="306"/>
      <c r="Q12" s="306"/>
      <c r="R12" s="306"/>
      <c r="S12" s="306"/>
      <c r="T12" s="307"/>
    </row>
    <row r="13" spans="1:20" ht="30" customHeight="1" x14ac:dyDescent="0.25">
      <c r="A13" s="198" t="str">
        <f>'Class List'!A13</f>
        <v>Student</v>
      </c>
      <c r="B13" s="201">
        <v>0</v>
      </c>
      <c r="C13" s="202">
        <v>0</v>
      </c>
      <c r="D13" s="202">
        <v>0</v>
      </c>
      <c r="E13" s="202">
        <v>0</v>
      </c>
      <c r="F13" s="202">
        <v>0</v>
      </c>
      <c r="G13" s="201">
        <v>0</v>
      </c>
      <c r="H13" s="201">
        <v>0</v>
      </c>
      <c r="I13" s="197">
        <f>'Class List'!$C13</f>
        <v>9</v>
      </c>
      <c r="J13" s="194">
        <f t="shared" si="0"/>
        <v>0</v>
      </c>
      <c r="K13" s="195" t="str">
        <f t="shared" si="1"/>
        <v>Beginning</v>
      </c>
      <c r="L13" s="306"/>
      <c r="M13" s="308"/>
      <c r="N13" s="306"/>
      <c r="O13" s="306"/>
      <c r="P13" s="306"/>
      <c r="Q13" s="306"/>
      <c r="R13" s="306"/>
      <c r="S13" s="306"/>
      <c r="T13" s="307"/>
    </row>
    <row r="14" spans="1:20" ht="30" customHeight="1" x14ac:dyDescent="0.25">
      <c r="A14" s="198" t="str">
        <f>'Class List'!A14</f>
        <v>Student</v>
      </c>
      <c r="B14" s="201">
        <v>0</v>
      </c>
      <c r="C14" s="202">
        <v>0</v>
      </c>
      <c r="D14" s="202">
        <v>0</v>
      </c>
      <c r="E14" s="202">
        <v>0</v>
      </c>
      <c r="F14" s="202">
        <v>0</v>
      </c>
      <c r="G14" s="201">
        <v>0</v>
      </c>
      <c r="H14" s="201">
        <v>0</v>
      </c>
      <c r="I14" s="197">
        <f>'Class List'!$C14</f>
        <v>9</v>
      </c>
      <c r="J14" s="194">
        <f t="shared" si="0"/>
        <v>0</v>
      </c>
      <c r="K14" s="195" t="str">
        <f t="shared" si="1"/>
        <v>Beginning</v>
      </c>
      <c r="L14" s="306"/>
      <c r="M14" s="308"/>
      <c r="N14" s="306"/>
      <c r="O14" s="306"/>
      <c r="P14" s="306"/>
      <c r="Q14" s="306"/>
      <c r="R14" s="306"/>
      <c r="S14" s="306"/>
      <c r="T14" s="307"/>
    </row>
    <row r="15" spans="1:20" ht="30" customHeight="1" x14ac:dyDescent="0.25">
      <c r="A15" s="198" t="str">
        <f>'Class List'!A15</f>
        <v>Student</v>
      </c>
      <c r="B15" s="201">
        <v>0</v>
      </c>
      <c r="C15" s="202">
        <v>0</v>
      </c>
      <c r="D15" s="202">
        <v>0</v>
      </c>
      <c r="E15" s="202">
        <v>0</v>
      </c>
      <c r="F15" s="202">
        <v>0</v>
      </c>
      <c r="G15" s="201">
        <v>0</v>
      </c>
      <c r="H15" s="201">
        <v>0</v>
      </c>
      <c r="I15" s="197">
        <f>'Class List'!$C15</f>
        <v>10</v>
      </c>
      <c r="J15" s="194">
        <f t="shared" si="0"/>
        <v>0</v>
      </c>
      <c r="K15" s="195" t="str">
        <f t="shared" si="1"/>
        <v>Beginning</v>
      </c>
      <c r="L15" s="306"/>
      <c r="M15" s="308"/>
      <c r="N15" s="306"/>
      <c r="O15" s="306"/>
      <c r="P15" s="306"/>
      <c r="Q15" s="306"/>
      <c r="R15" s="306"/>
      <c r="S15" s="306"/>
      <c r="T15" s="307"/>
    </row>
    <row r="16" spans="1:20" ht="30" customHeight="1" x14ac:dyDescent="0.25">
      <c r="A16" s="198" t="str">
        <f>'Class List'!A16</f>
        <v>Student</v>
      </c>
      <c r="B16" s="201">
        <v>0</v>
      </c>
      <c r="C16" s="202">
        <v>0</v>
      </c>
      <c r="D16" s="202">
        <v>0</v>
      </c>
      <c r="E16" s="202">
        <v>0</v>
      </c>
      <c r="F16" s="202">
        <v>0</v>
      </c>
      <c r="G16" s="201">
        <v>0</v>
      </c>
      <c r="H16" s="201">
        <v>0</v>
      </c>
      <c r="I16" s="197">
        <f>'Class List'!$C16</f>
        <v>9</v>
      </c>
      <c r="J16" s="194">
        <f t="shared" si="0"/>
        <v>0</v>
      </c>
      <c r="K16" s="195" t="str">
        <f t="shared" si="1"/>
        <v>Beginning</v>
      </c>
      <c r="L16" s="306"/>
      <c r="M16" s="308"/>
      <c r="N16" s="306"/>
      <c r="O16" s="306"/>
      <c r="P16" s="306"/>
      <c r="Q16" s="306"/>
      <c r="R16" s="306"/>
      <c r="S16" s="306"/>
      <c r="T16" s="307"/>
    </row>
    <row r="17" spans="1:20" ht="30" customHeight="1" x14ac:dyDescent="0.25">
      <c r="A17" s="198" t="str">
        <f>'Class List'!A17</f>
        <v>Student</v>
      </c>
      <c r="B17" s="201">
        <v>0</v>
      </c>
      <c r="C17" s="202">
        <v>0</v>
      </c>
      <c r="D17" s="202">
        <v>0</v>
      </c>
      <c r="E17" s="202">
        <v>0</v>
      </c>
      <c r="F17" s="202">
        <v>0</v>
      </c>
      <c r="G17" s="201">
        <v>0</v>
      </c>
      <c r="H17" s="201">
        <v>0</v>
      </c>
      <c r="I17" s="197">
        <f>'Class List'!$C17</f>
        <v>9</v>
      </c>
      <c r="J17" s="194">
        <f t="shared" si="0"/>
        <v>0</v>
      </c>
      <c r="K17" s="195" t="str">
        <f t="shared" si="1"/>
        <v>Beginning</v>
      </c>
      <c r="L17" s="306"/>
      <c r="M17" s="308"/>
      <c r="N17" s="306"/>
      <c r="O17" s="306"/>
      <c r="P17" s="306"/>
      <c r="Q17" s="306"/>
      <c r="R17" s="306"/>
      <c r="S17" s="306"/>
      <c r="T17" s="307"/>
    </row>
    <row r="18" spans="1:20" ht="30" customHeight="1" x14ac:dyDescent="0.25">
      <c r="A18" s="198" t="str">
        <f>'Class List'!A18</f>
        <v>Student</v>
      </c>
      <c r="B18" s="201">
        <v>0</v>
      </c>
      <c r="C18" s="202">
        <v>0</v>
      </c>
      <c r="D18" s="202">
        <v>0</v>
      </c>
      <c r="E18" s="202">
        <v>0</v>
      </c>
      <c r="F18" s="202">
        <v>0</v>
      </c>
      <c r="G18" s="201">
        <v>0</v>
      </c>
      <c r="H18" s="201">
        <v>0</v>
      </c>
      <c r="I18" s="197">
        <f>'Class List'!$C18</f>
        <v>10</v>
      </c>
      <c r="J18" s="194">
        <f t="shared" si="0"/>
        <v>0</v>
      </c>
      <c r="K18" s="195" t="str">
        <f t="shared" si="1"/>
        <v>Beginning</v>
      </c>
      <c r="L18" s="306"/>
      <c r="M18" s="308"/>
      <c r="N18" s="306"/>
      <c r="O18" s="306"/>
      <c r="P18" s="306"/>
      <c r="Q18" s="306"/>
      <c r="R18" s="306"/>
      <c r="S18" s="306"/>
      <c r="T18" s="307"/>
    </row>
    <row r="19" spans="1:20" ht="30" customHeight="1" x14ac:dyDescent="0.25">
      <c r="A19" s="198" t="str">
        <f>'Class List'!A19</f>
        <v>Student</v>
      </c>
      <c r="B19" s="201">
        <v>0</v>
      </c>
      <c r="C19" s="202">
        <v>0</v>
      </c>
      <c r="D19" s="202">
        <v>0</v>
      </c>
      <c r="E19" s="202">
        <v>0</v>
      </c>
      <c r="F19" s="202">
        <v>0</v>
      </c>
      <c r="G19" s="201">
        <v>0</v>
      </c>
      <c r="H19" s="201">
        <v>0</v>
      </c>
      <c r="I19" s="197">
        <f>'Class List'!$C19</f>
        <v>10</v>
      </c>
      <c r="J19" s="194">
        <f t="shared" si="0"/>
        <v>0</v>
      </c>
      <c r="K19" s="195" t="str">
        <f t="shared" si="1"/>
        <v>Beginning</v>
      </c>
      <c r="L19" s="306"/>
      <c r="M19" s="308"/>
      <c r="N19" s="306"/>
      <c r="O19" s="306"/>
      <c r="P19" s="306"/>
      <c r="Q19" s="306"/>
      <c r="R19" s="306"/>
      <c r="S19" s="306"/>
      <c r="T19" s="307"/>
    </row>
    <row r="20" spans="1:20" ht="30" customHeight="1" x14ac:dyDescent="0.25">
      <c r="A20" s="198" t="str">
        <f>'Class List'!A20</f>
        <v>Student</v>
      </c>
      <c r="B20" s="201">
        <v>0</v>
      </c>
      <c r="C20" s="202">
        <v>0</v>
      </c>
      <c r="D20" s="202">
        <v>0</v>
      </c>
      <c r="E20" s="202">
        <v>0</v>
      </c>
      <c r="F20" s="202">
        <v>0</v>
      </c>
      <c r="G20" s="201">
        <v>0</v>
      </c>
      <c r="H20" s="201">
        <v>0</v>
      </c>
      <c r="I20" s="197">
        <f>'Class List'!$C20</f>
        <v>10</v>
      </c>
      <c r="J20" s="194">
        <f t="shared" si="0"/>
        <v>0</v>
      </c>
      <c r="K20" s="195" t="str">
        <f t="shared" si="1"/>
        <v>Beginning</v>
      </c>
      <c r="L20" s="306"/>
      <c r="M20" s="308"/>
      <c r="N20" s="306"/>
      <c r="O20" s="306"/>
      <c r="P20" s="306"/>
      <c r="Q20" s="306"/>
      <c r="R20" s="306"/>
      <c r="S20" s="306"/>
      <c r="T20" s="307"/>
    </row>
    <row r="21" spans="1:20" ht="30" customHeight="1" x14ac:dyDescent="0.25">
      <c r="A21" s="198" t="str">
        <f>'Class List'!A21</f>
        <v>Student</v>
      </c>
      <c r="B21" s="201">
        <v>0</v>
      </c>
      <c r="C21" s="202">
        <v>0</v>
      </c>
      <c r="D21" s="202">
        <v>0</v>
      </c>
      <c r="E21" s="202">
        <v>0</v>
      </c>
      <c r="F21" s="202">
        <v>0</v>
      </c>
      <c r="G21" s="201">
        <v>0</v>
      </c>
      <c r="H21" s="201">
        <v>0</v>
      </c>
      <c r="I21" s="197">
        <f>'Class List'!$C21</f>
        <v>9</v>
      </c>
      <c r="J21" s="194">
        <f t="shared" si="0"/>
        <v>0</v>
      </c>
      <c r="K21" s="195" t="str">
        <f t="shared" si="1"/>
        <v>Beginning</v>
      </c>
      <c r="L21" s="306"/>
      <c r="M21" s="308"/>
      <c r="N21" s="306"/>
      <c r="O21" s="306"/>
      <c r="P21" s="306"/>
      <c r="Q21" s="306"/>
      <c r="R21" s="306"/>
      <c r="S21" s="306"/>
      <c r="T21" s="307"/>
    </row>
    <row r="22" spans="1:20" ht="30" customHeight="1" x14ac:dyDescent="0.25">
      <c r="A22" s="198" t="str">
        <f>'Class List'!A22</f>
        <v>Student</v>
      </c>
      <c r="B22" s="201">
        <v>0</v>
      </c>
      <c r="C22" s="202">
        <v>0</v>
      </c>
      <c r="D22" s="202">
        <v>0</v>
      </c>
      <c r="E22" s="202">
        <v>0</v>
      </c>
      <c r="F22" s="202">
        <v>0</v>
      </c>
      <c r="G22" s="201">
        <v>0</v>
      </c>
      <c r="H22" s="201">
        <v>0</v>
      </c>
      <c r="I22" s="197">
        <f>'Class List'!$C22</f>
        <v>10</v>
      </c>
      <c r="J22" s="194">
        <f t="shared" si="0"/>
        <v>0</v>
      </c>
      <c r="K22" s="195" t="str">
        <f t="shared" si="1"/>
        <v>Beginning</v>
      </c>
      <c r="L22" s="306"/>
      <c r="M22" s="308"/>
      <c r="N22" s="306"/>
      <c r="O22" s="306"/>
      <c r="P22" s="306"/>
      <c r="Q22" s="306"/>
      <c r="R22" s="306"/>
      <c r="S22" s="306"/>
      <c r="T22" s="307"/>
    </row>
    <row r="23" spans="1:20" ht="30" customHeight="1" x14ac:dyDescent="0.25">
      <c r="A23" s="198" t="str">
        <f>'Class List'!A23</f>
        <v>Student</v>
      </c>
      <c r="B23" s="201">
        <v>0</v>
      </c>
      <c r="C23" s="202">
        <v>0</v>
      </c>
      <c r="D23" s="202">
        <v>0</v>
      </c>
      <c r="E23" s="202">
        <v>0</v>
      </c>
      <c r="F23" s="202">
        <v>0</v>
      </c>
      <c r="G23" s="201">
        <v>0</v>
      </c>
      <c r="H23" s="201">
        <v>0</v>
      </c>
      <c r="I23" s="197">
        <f>'Class List'!$C23</f>
        <v>10</v>
      </c>
      <c r="J23" s="194">
        <f t="shared" si="0"/>
        <v>0</v>
      </c>
      <c r="K23" s="195" t="str">
        <f t="shared" si="1"/>
        <v>Beginning</v>
      </c>
      <c r="L23" s="306"/>
      <c r="M23" s="308"/>
      <c r="N23" s="306"/>
      <c r="O23" s="306"/>
      <c r="P23" s="306"/>
      <c r="Q23" s="306"/>
      <c r="R23" s="306"/>
      <c r="S23" s="306"/>
      <c r="T23" s="307"/>
    </row>
    <row r="24" spans="1:20" ht="30" customHeight="1" x14ac:dyDescent="0.25">
      <c r="A24" s="198" t="str">
        <f>'Class List'!A24</f>
        <v>Student</v>
      </c>
      <c r="B24" s="201">
        <v>0</v>
      </c>
      <c r="C24" s="202">
        <v>0</v>
      </c>
      <c r="D24" s="202">
        <v>0</v>
      </c>
      <c r="E24" s="202">
        <v>0</v>
      </c>
      <c r="F24" s="202">
        <v>0</v>
      </c>
      <c r="G24" s="201">
        <v>0</v>
      </c>
      <c r="H24" s="201">
        <v>0</v>
      </c>
      <c r="I24" s="197">
        <f>'Class List'!$C24</f>
        <v>9</v>
      </c>
      <c r="J24" s="194">
        <f t="shared" si="0"/>
        <v>0</v>
      </c>
      <c r="K24" s="195" t="str">
        <f t="shared" si="1"/>
        <v>Beginning</v>
      </c>
      <c r="L24" s="306"/>
      <c r="M24" s="308"/>
      <c r="N24" s="306"/>
      <c r="O24" s="306"/>
      <c r="P24" s="306"/>
      <c r="Q24" s="306"/>
      <c r="R24" s="306"/>
      <c r="S24" s="306"/>
      <c r="T24" s="307"/>
    </row>
    <row r="25" spans="1:20" ht="30" customHeight="1" x14ac:dyDescent="0.25">
      <c r="A25" s="198" t="str">
        <f>'Class List'!A25</f>
        <v>Student</v>
      </c>
      <c r="B25" s="201">
        <v>0</v>
      </c>
      <c r="C25" s="202">
        <v>0</v>
      </c>
      <c r="D25" s="202">
        <v>0</v>
      </c>
      <c r="E25" s="202">
        <v>0</v>
      </c>
      <c r="F25" s="202">
        <v>0</v>
      </c>
      <c r="G25" s="201">
        <v>0</v>
      </c>
      <c r="H25" s="201">
        <v>0</v>
      </c>
      <c r="I25" s="197">
        <f>'Class List'!$C25</f>
        <v>10</v>
      </c>
      <c r="J25" s="194">
        <f t="shared" si="0"/>
        <v>0</v>
      </c>
      <c r="K25" s="195" t="str">
        <f t="shared" si="1"/>
        <v>Beginning</v>
      </c>
      <c r="L25" s="306"/>
      <c r="M25" s="308"/>
      <c r="N25" s="306"/>
      <c r="O25" s="306"/>
      <c r="P25" s="306"/>
      <c r="Q25" s="306"/>
      <c r="R25" s="306"/>
      <c r="S25" s="306"/>
      <c r="T25" s="307"/>
    </row>
    <row r="26" spans="1:20" ht="30" customHeight="1" x14ac:dyDescent="0.25">
      <c r="A26" s="198" t="str">
        <f>'Class List'!A26</f>
        <v>Student</v>
      </c>
      <c r="B26" s="201">
        <v>0</v>
      </c>
      <c r="C26" s="202">
        <v>0</v>
      </c>
      <c r="D26" s="202">
        <v>0</v>
      </c>
      <c r="E26" s="202">
        <v>0</v>
      </c>
      <c r="F26" s="202">
        <v>0</v>
      </c>
      <c r="G26" s="201">
        <v>0</v>
      </c>
      <c r="H26" s="201">
        <v>0</v>
      </c>
      <c r="I26" s="197">
        <f>'Class List'!$C26</f>
        <v>10</v>
      </c>
      <c r="J26" s="194">
        <f t="shared" si="0"/>
        <v>0</v>
      </c>
      <c r="K26" s="195" t="str">
        <f t="shared" si="1"/>
        <v>Beginning</v>
      </c>
      <c r="L26" s="306"/>
      <c r="M26" s="308"/>
      <c r="N26" s="306"/>
      <c r="O26" s="306"/>
      <c r="P26" s="306"/>
      <c r="Q26" s="306"/>
      <c r="R26" s="306"/>
      <c r="S26" s="306"/>
      <c r="T26" s="307"/>
    </row>
    <row r="27" spans="1:20" ht="30" customHeight="1" x14ac:dyDescent="0.25">
      <c r="A27" s="198" t="str">
        <f>'Class List'!A27</f>
        <v>Student</v>
      </c>
      <c r="B27" s="201">
        <v>0</v>
      </c>
      <c r="C27" s="202">
        <v>0</v>
      </c>
      <c r="D27" s="202">
        <v>0</v>
      </c>
      <c r="E27" s="202">
        <v>0</v>
      </c>
      <c r="F27" s="202">
        <v>0</v>
      </c>
      <c r="G27" s="201">
        <v>0</v>
      </c>
      <c r="H27" s="201">
        <v>0</v>
      </c>
      <c r="I27" s="197">
        <f>'Class List'!$C27</f>
        <v>9</v>
      </c>
      <c r="J27" s="194">
        <f t="shared" si="0"/>
        <v>0</v>
      </c>
      <c r="K27" s="195" t="str">
        <f t="shared" si="1"/>
        <v>Beginning</v>
      </c>
      <c r="L27" s="306"/>
      <c r="M27" s="308"/>
      <c r="N27" s="306"/>
      <c r="O27" s="306"/>
      <c r="P27" s="306"/>
      <c r="Q27" s="306"/>
      <c r="R27" s="306"/>
      <c r="S27" s="306"/>
      <c r="T27" s="307"/>
    </row>
    <row r="28" spans="1:20" ht="30" customHeight="1" x14ac:dyDescent="0.25">
      <c r="A28" s="198" t="str">
        <f>'Class List'!A28</f>
        <v>Student</v>
      </c>
      <c r="B28" s="201">
        <v>0</v>
      </c>
      <c r="C28" s="202">
        <v>0</v>
      </c>
      <c r="D28" s="202">
        <v>0</v>
      </c>
      <c r="E28" s="202">
        <v>0</v>
      </c>
      <c r="F28" s="202">
        <v>0</v>
      </c>
      <c r="G28" s="201">
        <v>0</v>
      </c>
      <c r="H28" s="201">
        <v>0</v>
      </c>
      <c r="I28" s="197">
        <f>'Class List'!$C28</f>
        <v>9</v>
      </c>
      <c r="J28" s="194">
        <f t="shared" si="0"/>
        <v>0</v>
      </c>
      <c r="K28" s="195" t="str">
        <f t="shared" si="1"/>
        <v>Beginning</v>
      </c>
      <c r="L28" s="306"/>
      <c r="M28" s="308"/>
      <c r="N28" s="306"/>
      <c r="O28" s="306"/>
      <c r="P28" s="306"/>
      <c r="Q28" s="306"/>
      <c r="R28" s="306"/>
      <c r="S28" s="306"/>
      <c r="T28" s="307"/>
    </row>
    <row r="29" spans="1:20" ht="30" customHeight="1" x14ac:dyDescent="0.25">
      <c r="A29" s="198" t="str">
        <f>'Class List'!A29</f>
        <v>Student</v>
      </c>
      <c r="B29" s="201">
        <v>0</v>
      </c>
      <c r="C29" s="202">
        <v>0</v>
      </c>
      <c r="D29" s="202">
        <v>0</v>
      </c>
      <c r="E29" s="202">
        <v>0</v>
      </c>
      <c r="F29" s="202">
        <v>0</v>
      </c>
      <c r="G29" s="201">
        <v>0</v>
      </c>
      <c r="H29" s="201">
        <v>0</v>
      </c>
      <c r="I29" s="197">
        <f>'Class List'!$C29</f>
        <v>9</v>
      </c>
      <c r="J29" s="194">
        <f t="shared" si="0"/>
        <v>0</v>
      </c>
      <c r="K29" s="195" t="str">
        <f t="shared" si="1"/>
        <v>Beginning</v>
      </c>
      <c r="L29" s="306"/>
      <c r="M29" s="308"/>
      <c r="N29" s="306"/>
      <c r="O29" s="306"/>
      <c r="P29" s="306"/>
      <c r="Q29" s="306"/>
      <c r="R29" s="306"/>
      <c r="S29" s="306"/>
      <c r="T29" s="307"/>
    </row>
    <row r="30" spans="1:20" ht="30" customHeight="1" x14ac:dyDescent="0.25">
      <c r="A30" s="198" t="str">
        <f>'Class List'!A30</f>
        <v>Student</v>
      </c>
      <c r="B30" s="201">
        <v>0</v>
      </c>
      <c r="C30" s="202">
        <v>0</v>
      </c>
      <c r="D30" s="202">
        <v>0</v>
      </c>
      <c r="E30" s="202">
        <v>0</v>
      </c>
      <c r="F30" s="202">
        <v>0</v>
      </c>
      <c r="G30" s="201">
        <v>0</v>
      </c>
      <c r="H30" s="201">
        <v>0</v>
      </c>
      <c r="I30" s="197">
        <f>'Class List'!$C30</f>
        <v>9</v>
      </c>
      <c r="J30" s="194">
        <f t="shared" si="0"/>
        <v>0</v>
      </c>
      <c r="K30" s="195" t="str">
        <f t="shared" si="1"/>
        <v>Beginning</v>
      </c>
      <c r="L30" s="306"/>
      <c r="M30" s="308"/>
      <c r="N30" s="306"/>
      <c r="O30" s="306"/>
      <c r="P30" s="306"/>
      <c r="Q30" s="306"/>
      <c r="R30" s="306"/>
      <c r="S30" s="306"/>
      <c r="T30" s="307"/>
    </row>
    <row r="31" spans="1:20" ht="30" customHeight="1" x14ac:dyDescent="0.25">
      <c r="A31" s="198">
        <f>'Class List'!A31</f>
        <v>0</v>
      </c>
      <c r="B31" s="201">
        <v>0</v>
      </c>
      <c r="C31" s="202">
        <v>0</v>
      </c>
      <c r="D31" s="202">
        <v>0</v>
      </c>
      <c r="E31" s="202">
        <v>0</v>
      </c>
      <c r="F31" s="202">
        <v>0</v>
      </c>
      <c r="G31" s="201">
        <v>0</v>
      </c>
      <c r="H31" s="201">
        <v>0</v>
      </c>
      <c r="I31" s="197">
        <f>'Class List'!$C31</f>
        <v>0</v>
      </c>
      <c r="J31" s="194">
        <f t="shared" si="0"/>
        <v>0</v>
      </c>
      <c r="K31" s="195" t="str">
        <f t="shared" si="1"/>
        <v>Age Not Found</v>
      </c>
      <c r="L31" s="306"/>
      <c r="M31" s="308"/>
      <c r="N31" s="306"/>
      <c r="O31" s="306"/>
      <c r="P31" s="306"/>
      <c r="Q31" s="306"/>
      <c r="R31" s="306"/>
      <c r="S31" s="306"/>
      <c r="T31" s="307"/>
    </row>
    <row r="32" spans="1:20" ht="30" customHeight="1" x14ac:dyDescent="0.25">
      <c r="A32" s="198">
        <f>'Class List'!A32</f>
        <v>0</v>
      </c>
      <c r="B32" s="201">
        <v>0</v>
      </c>
      <c r="C32" s="202">
        <v>0</v>
      </c>
      <c r="D32" s="202">
        <v>0</v>
      </c>
      <c r="E32" s="202">
        <v>0</v>
      </c>
      <c r="F32" s="202">
        <v>0</v>
      </c>
      <c r="G32" s="201">
        <v>0</v>
      </c>
      <c r="H32" s="201">
        <v>0</v>
      </c>
      <c r="I32" s="197">
        <f>'Class List'!$C32</f>
        <v>0</v>
      </c>
      <c r="J32" s="194">
        <f t="shared" si="0"/>
        <v>0</v>
      </c>
      <c r="K32" s="195" t="str">
        <f t="shared" si="1"/>
        <v>Age Not Found</v>
      </c>
      <c r="L32" s="306"/>
      <c r="M32" s="308"/>
      <c r="N32" s="306"/>
      <c r="O32" s="306"/>
      <c r="P32" s="306"/>
      <c r="Q32" s="306"/>
      <c r="R32" s="306"/>
      <c r="S32" s="306"/>
      <c r="T32" s="307"/>
    </row>
    <row r="33" spans="1:20" ht="30" customHeight="1" x14ac:dyDescent="0.25">
      <c r="A33" s="198">
        <f>'Class List'!A33</f>
        <v>0</v>
      </c>
      <c r="B33" s="201">
        <v>0</v>
      </c>
      <c r="C33" s="202">
        <v>0</v>
      </c>
      <c r="D33" s="202">
        <v>0</v>
      </c>
      <c r="E33" s="202">
        <v>0</v>
      </c>
      <c r="F33" s="202">
        <v>0</v>
      </c>
      <c r="G33" s="201">
        <v>0</v>
      </c>
      <c r="H33" s="201">
        <v>0</v>
      </c>
      <c r="I33" s="197">
        <f>'Class List'!$C33</f>
        <v>0</v>
      </c>
      <c r="J33" s="194">
        <f t="shared" si="0"/>
        <v>0</v>
      </c>
      <c r="K33" s="195" t="str">
        <f t="shared" si="1"/>
        <v>Age Not Found</v>
      </c>
      <c r="L33" s="306"/>
      <c r="M33" s="308"/>
      <c r="N33" s="306"/>
      <c r="O33" s="306"/>
      <c r="P33" s="306"/>
      <c r="Q33" s="306"/>
      <c r="R33" s="306"/>
      <c r="S33" s="306"/>
      <c r="T33" s="307"/>
    </row>
    <row r="34" spans="1:20" ht="30" customHeight="1" thickBot="1" x14ac:dyDescent="0.3">
      <c r="A34" s="198">
        <f>'Class List'!A34</f>
        <v>0</v>
      </c>
      <c r="B34" s="203">
        <v>0</v>
      </c>
      <c r="C34" s="204">
        <v>0</v>
      </c>
      <c r="D34" s="204">
        <v>0</v>
      </c>
      <c r="E34" s="204">
        <v>0</v>
      </c>
      <c r="F34" s="204">
        <v>0</v>
      </c>
      <c r="G34" s="203">
        <v>0</v>
      </c>
      <c r="H34" s="203">
        <v>0</v>
      </c>
      <c r="I34" s="197">
        <f>'Class List'!$C34</f>
        <v>0</v>
      </c>
      <c r="J34" s="194">
        <f t="shared" si="0"/>
        <v>0</v>
      </c>
      <c r="K34" s="195" t="str">
        <f t="shared" si="1"/>
        <v>Age Not Found</v>
      </c>
      <c r="L34" s="306"/>
      <c r="M34" s="308"/>
      <c r="N34" s="306"/>
      <c r="O34" s="306"/>
      <c r="P34" s="306"/>
      <c r="Q34" s="306"/>
      <c r="R34" s="306"/>
      <c r="S34" s="306"/>
      <c r="T34" s="307"/>
    </row>
    <row r="35" spans="1:20" ht="14.1" customHeight="1" thickTop="1" thickBot="1" x14ac:dyDescent="0.3">
      <c r="A35" s="191" t="s">
        <v>34</v>
      </c>
      <c r="B35" s="192">
        <f t="shared" ref="B35:H35" si="2">SUM(B5:B34)</f>
        <v>1</v>
      </c>
      <c r="C35" s="192">
        <f t="shared" si="2"/>
        <v>0</v>
      </c>
      <c r="D35" s="192">
        <f t="shared" si="2"/>
        <v>0</v>
      </c>
      <c r="E35" s="192">
        <f t="shared" si="2"/>
        <v>0</v>
      </c>
      <c r="F35" s="192">
        <f t="shared" si="2"/>
        <v>0</v>
      </c>
      <c r="G35" s="192">
        <f t="shared" si="2"/>
        <v>0</v>
      </c>
      <c r="H35" s="192">
        <f t="shared" si="2"/>
        <v>0</v>
      </c>
      <c r="I35" s="192"/>
      <c r="J35" s="192"/>
      <c r="K35" s="192"/>
      <c r="L35" s="380"/>
      <c r="M35" s="308"/>
      <c r="N35" s="306"/>
      <c r="O35" s="306"/>
      <c r="P35" s="306"/>
      <c r="Q35" s="306"/>
      <c r="R35" s="306"/>
      <c r="S35" s="306"/>
      <c r="T35" s="307"/>
    </row>
    <row r="36" spans="1:20" ht="16.05" customHeight="1" thickTop="1" x14ac:dyDescent="0.3">
      <c r="A36" s="327" t="s">
        <v>35</v>
      </c>
      <c r="B36" s="328"/>
      <c r="C36" s="328"/>
      <c r="D36" s="328"/>
      <c r="E36" s="329"/>
      <c r="F36" s="306"/>
      <c r="G36" s="306"/>
      <c r="J36" s="340"/>
      <c r="K36" s="306"/>
      <c r="L36" s="380"/>
      <c r="M36" s="308"/>
      <c r="N36" s="306"/>
      <c r="O36" s="306"/>
      <c r="P36" s="306"/>
      <c r="Q36" s="306"/>
      <c r="R36" s="306"/>
      <c r="S36" s="306"/>
      <c r="T36" s="307"/>
    </row>
    <row r="37" spans="1:20" ht="13.05" customHeight="1" x14ac:dyDescent="0.25">
      <c r="A37" s="324"/>
      <c r="B37" s="325"/>
      <c r="C37" s="325"/>
      <c r="D37" s="325"/>
      <c r="E37" s="326"/>
      <c r="F37" s="306"/>
      <c r="G37" s="306"/>
      <c r="J37" s="306"/>
      <c r="K37" s="306"/>
      <c r="L37" s="380"/>
      <c r="M37" s="308"/>
      <c r="N37" s="306"/>
      <c r="O37" s="306"/>
      <c r="P37" s="306"/>
      <c r="Q37" s="306"/>
      <c r="R37" s="306"/>
      <c r="S37" s="306"/>
      <c r="T37" s="307"/>
    </row>
    <row r="38" spans="1:20" ht="13.05" customHeight="1" x14ac:dyDescent="0.25">
      <c r="A38" s="5" t="s">
        <v>5</v>
      </c>
      <c r="B38" s="6" t="s">
        <v>37</v>
      </c>
      <c r="C38" s="6" t="s">
        <v>38</v>
      </c>
      <c r="D38" s="6" t="s">
        <v>39</v>
      </c>
      <c r="E38" s="7" t="s">
        <v>40</v>
      </c>
      <c r="F38" s="306"/>
      <c r="G38" s="306"/>
      <c r="J38" s="8" t="s">
        <v>41</v>
      </c>
      <c r="K38" s="57"/>
      <c r="L38" s="380"/>
      <c r="M38" s="308"/>
      <c r="N38" s="306"/>
      <c r="O38" s="306"/>
      <c r="P38" s="306"/>
      <c r="Q38" s="306"/>
      <c r="R38" s="306"/>
      <c r="S38" s="306"/>
      <c r="T38" s="307"/>
    </row>
    <row r="39" spans="1:20" ht="12.6" customHeight="1" x14ac:dyDescent="0.25">
      <c r="A39" s="32">
        <v>5</v>
      </c>
      <c r="B39" s="10">
        <v>0</v>
      </c>
      <c r="C39" s="10">
        <v>0</v>
      </c>
      <c r="D39" s="10">
        <v>1</v>
      </c>
      <c r="E39" s="11">
        <v>2</v>
      </c>
      <c r="F39" s="306"/>
      <c r="G39" s="306"/>
      <c r="J39" s="12" t="s">
        <v>42</v>
      </c>
      <c r="K39" s="58">
        <f>COUNTIF(K$5:K$34, "Beginning")</f>
        <v>26</v>
      </c>
      <c r="L39" s="380"/>
      <c r="M39" s="308"/>
      <c r="N39" s="306"/>
      <c r="O39" s="306"/>
      <c r="P39" s="306"/>
      <c r="Q39" s="306"/>
      <c r="R39" s="306"/>
      <c r="S39" s="306"/>
      <c r="T39" s="307"/>
    </row>
    <row r="40" spans="1:20" ht="12.6" customHeight="1" x14ac:dyDescent="0.25">
      <c r="A40" s="32">
        <v>6</v>
      </c>
      <c r="B40" s="10">
        <v>0</v>
      </c>
      <c r="C40" s="10">
        <v>1</v>
      </c>
      <c r="D40" s="10">
        <v>2</v>
      </c>
      <c r="E40" s="11">
        <v>3</v>
      </c>
      <c r="F40" s="306"/>
      <c r="G40" s="306"/>
      <c r="J40" s="12" t="s">
        <v>38</v>
      </c>
      <c r="K40" s="58">
        <f>COUNTIF(K$5:K$34, "Progressing")</f>
        <v>0</v>
      </c>
      <c r="L40" s="380"/>
      <c r="M40" s="308"/>
      <c r="N40" s="306"/>
      <c r="O40" s="306"/>
      <c r="P40" s="306"/>
      <c r="Q40" s="306"/>
      <c r="R40" s="306"/>
      <c r="S40" s="306"/>
      <c r="T40" s="307"/>
    </row>
    <row r="41" spans="1:20" ht="12.6" customHeight="1" x14ac:dyDescent="0.25">
      <c r="A41" s="32">
        <v>7</v>
      </c>
      <c r="B41" s="10">
        <v>2</v>
      </c>
      <c r="C41" s="10">
        <v>3</v>
      </c>
      <c r="D41" s="10">
        <v>4</v>
      </c>
      <c r="E41" s="11">
        <v>5</v>
      </c>
      <c r="F41" s="306"/>
      <c r="G41" s="306"/>
      <c r="J41" s="12" t="s">
        <v>43</v>
      </c>
      <c r="K41" s="58">
        <f>COUNTIF(K$5:K$34, "Achieving")</f>
        <v>0</v>
      </c>
      <c r="L41" s="380"/>
      <c r="M41" s="308"/>
      <c r="N41" s="306"/>
      <c r="O41" s="306"/>
      <c r="P41" s="306"/>
      <c r="Q41" s="306"/>
      <c r="R41" s="306"/>
      <c r="S41" s="306"/>
      <c r="T41" s="307"/>
    </row>
    <row r="42" spans="1:20" ht="12.6" customHeight="1" x14ac:dyDescent="0.25">
      <c r="A42" s="32">
        <v>8</v>
      </c>
      <c r="B42" s="10">
        <v>4</v>
      </c>
      <c r="C42" s="10">
        <v>5</v>
      </c>
      <c r="D42" s="10">
        <v>6</v>
      </c>
      <c r="E42" s="11">
        <v>7</v>
      </c>
      <c r="F42" s="306"/>
      <c r="G42" s="306"/>
      <c r="J42" s="12" t="s">
        <v>40</v>
      </c>
      <c r="K42" s="58">
        <f>COUNTIF(K$5:K$34, "Excelling")</f>
        <v>0</v>
      </c>
      <c r="L42" s="380"/>
      <c r="M42" s="308"/>
      <c r="N42" s="306"/>
      <c r="O42" s="306"/>
      <c r="P42" s="306"/>
      <c r="Q42" s="306"/>
      <c r="R42" s="306"/>
      <c r="S42" s="306"/>
      <c r="T42" s="307"/>
    </row>
    <row r="43" spans="1:20" ht="12.6" customHeight="1" x14ac:dyDescent="0.25">
      <c r="A43" s="33">
        <v>9</v>
      </c>
      <c r="B43" s="10">
        <v>5</v>
      </c>
      <c r="C43" s="10">
        <v>6</v>
      </c>
      <c r="D43" s="10">
        <v>7</v>
      </c>
      <c r="E43" s="11">
        <v>8</v>
      </c>
      <c r="F43" s="306"/>
      <c r="G43" s="306"/>
      <c r="J43" s="306"/>
      <c r="K43" s="306"/>
      <c r="L43" s="380"/>
      <c r="M43" s="308"/>
      <c r="N43" s="306"/>
      <c r="O43" s="306"/>
      <c r="P43" s="306"/>
      <c r="Q43" s="306"/>
      <c r="R43" s="306"/>
      <c r="S43" s="306"/>
      <c r="T43" s="307"/>
    </row>
    <row r="44" spans="1:20" ht="12.6" customHeight="1" x14ac:dyDescent="0.25">
      <c r="A44" s="32">
        <v>10</v>
      </c>
      <c r="B44" s="10">
        <v>5</v>
      </c>
      <c r="C44" s="10">
        <v>6</v>
      </c>
      <c r="D44" s="10">
        <v>7</v>
      </c>
      <c r="E44" s="11">
        <v>8</v>
      </c>
      <c r="F44" s="306"/>
      <c r="G44" s="306"/>
      <c r="J44" s="306"/>
      <c r="K44" s="306"/>
      <c r="L44" s="380"/>
      <c r="M44" s="309"/>
      <c r="N44" s="310"/>
      <c r="O44" s="310"/>
      <c r="P44" s="310"/>
      <c r="Q44" s="310"/>
      <c r="R44" s="310"/>
      <c r="S44" s="310"/>
      <c r="T44" s="311"/>
    </row>
    <row r="45" spans="1:20" ht="13.05" customHeight="1" thickTop="1" x14ac:dyDescent="0.25">
      <c r="A45" s="32">
        <v>11</v>
      </c>
      <c r="B45" s="10">
        <v>5</v>
      </c>
      <c r="C45" s="10">
        <v>6</v>
      </c>
      <c r="D45" s="10">
        <v>7</v>
      </c>
      <c r="E45" s="11">
        <v>8</v>
      </c>
      <c r="F45" s="306"/>
      <c r="G45" s="306"/>
      <c r="J45" s="306"/>
      <c r="K45" s="306"/>
      <c r="L45" s="380"/>
      <c r="M45" s="306"/>
      <c r="N45" s="306"/>
      <c r="O45" s="306"/>
      <c r="P45" s="306"/>
      <c r="Q45" s="306"/>
      <c r="R45" s="306"/>
      <c r="S45" s="306"/>
      <c r="T45" s="306"/>
    </row>
    <row r="46" spans="1:20" ht="13.05" customHeight="1" thickBot="1" x14ac:dyDescent="0.3">
      <c r="A46" s="34">
        <v>12</v>
      </c>
      <c r="B46" s="46">
        <v>5</v>
      </c>
      <c r="C46" s="64">
        <v>6</v>
      </c>
      <c r="D46" s="14">
        <v>7</v>
      </c>
      <c r="E46" s="15">
        <v>8</v>
      </c>
      <c r="F46" s="306"/>
      <c r="G46" s="306"/>
      <c r="J46" s="306"/>
      <c r="K46" s="306"/>
      <c r="L46" s="380"/>
      <c r="M46" s="306"/>
      <c r="N46" s="306"/>
      <c r="O46" s="306"/>
      <c r="P46" s="306"/>
      <c r="Q46" s="306"/>
      <c r="R46" s="306"/>
      <c r="S46" s="306"/>
      <c r="T46" s="306"/>
    </row>
    <row r="47" spans="1:20" ht="15.75" customHeight="1" thickTop="1" thickBot="1" x14ac:dyDescent="0.3"/>
    <row r="48" spans="1:20" ht="12.6" customHeight="1" thickTop="1" x14ac:dyDescent="0.3">
      <c r="A48" s="327" t="s">
        <v>145</v>
      </c>
      <c r="B48" s="328"/>
      <c r="C48" s="328"/>
      <c r="D48" s="328"/>
      <c r="E48" s="329"/>
    </row>
    <row r="49" spans="1:7" ht="12.6" customHeight="1" x14ac:dyDescent="0.25">
      <c r="A49" s="324" t="s">
        <v>146</v>
      </c>
      <c r="B49" s="325"/>
      <c r="C49" s="325"/>
      <c r="D49" s="325"/>
      <c r="E49" s="326"/>
      <c r="G49" s="25" t="s">
        <v>45</v>
      </c>
    </row>
    <row r="50" spans="1:7" ht="12.6" customHeight="1" x14ac:dyDescent="0.25">
      <c r="A50" s="5" t="s">
        <v>5</v>
      </c>
      <c r="B50" s="6" t="s">
        <v>37</v>
      </c>
      <c r="C50" s="6" t="s">
        <v>38</v>
      </c>
      <c r="D50" s="6" t="s">
        <v>39</v>
      </c>
      <c r="E50" s="7" t="s">
        <v>40</v>
      </c>
    </row>
    <row r="51" spans="1:7" ht="12.6" customHeight="1" x14ac:dyDescent="0.25">
      <c r="A51" s="32">
        <v>7</v>
      </c>
      <c r="B51" s="10">
        <v>1</v>
      </c>
      <c r="C51" s="10">
        <v>2</v>
      </c>
      <c r="D51" s="10">
        <v>3</v>
      </c>
      <c r="E51" s="11">
        <v>3</v>
      </c>
    </row>
    <row r="52" spans="1:7" ht="12.6" customHeight="1" x14ac:dyDescent="0.25">
      <c r="A52" s="32">
        <v>8</v>
      </c>
      <c r="B52" s="10" t="s">
        <v>147</v>
      </c>
      <c r="C52" s="10">
        <v>3</v>
      </c>
      <c r="D52" s="10">
        <v>4</v>
      </c>
      <c r="E52" s="11" t="s">
        <v>148</v>
      </c>
    </row>
    <row r="53" spans="1:7" ht="15.75" customHeight="1" x14ac:dyDescent="0.25">
      <c r="A53" s="59"/>
      <c r="B53" s="59"/>
      <c r="C53" s="59"/>
      <c r="D53" s="59"/>
      <c r="E53" s="59"/>
    </row>
    <row r="54" spans="1:7" ht="15.75" customHeight="1" x14ac:dyDescent="0.25">
      <c r="A54" s="59"/>
      <c r="B54" s="59"/>
      <c r="C54" s="59"/>
      <c r="D54" s="59"/>
      <c r="E54" s="59"/>
    </row>
    <row r="55" spans="1:7" ht="15.75" customHeight="1" x14ac:dyDescent="0.25">
      <c r="A55" s="59"/>
      <c r="B55" s="59"/>
      <c r="C55" s="59"/>
      <c r="D55" s="59"/>
      <c r="E55" s="59"/>
    </row>
    <row r="56" spans="1:7" ht="15.75" customHeight="1" x14ac:dyDescent="0.25">
      <c r="A56" s="59"/>
      <c r="B56" s="59"/>
      <c r="C56" s="59"/>
      <c r="D56" s="59"/>
      <c r="E56" s="59"/>
    </row>
    <row r="57" spans="1:7" ht="15.75" customHeight="1" x14ac:dyDescent="0.25">
      <c r="A57" s="59"/>
      <c r="B57" s="59"/>
      <c r="C57" s="59"/>
      <c r="D57" s="59"/>
      <c r="E57" s="59"/>
    </row>
    <row r="58" spans="1:7" ht="15.75" customHeight="1" x14ac:dyDescent="0.25">
      <c r="A58" s="59"/>
      <c r="B58" s="59"/>
      <c r="C58" s="60"/>
      <c r="D58" s="59"/>
      <c r="E58" s="59"/>
    </row>
  </sheetData>
  <mergeCells count="17">
    <mergeCell ref="J43:K46"/>
    <mergeCell ref="A48:E48"/>
    <mergeCell ref="A49:E49"/>
    <mergeCell ref="M1:T1"/>
    <mergeCell ref="M2:P2"/>
    <mergeCell ref="M45:T46"/>
    <mergeCell ref="Q2:T2"/>
    <mergeCell ref="M3:T44"/>
    <mergeCell ref="G2:K2"/>
    <mergeCell ref="A2:B2"/>
    <mergeCell ref="C2:F2"/>
    <mergeCell ref="A1:K1"/>
    <mergeCell ref="L1:L46"/>
    <mergeCell ref="A36:E36"/>
    <mergeCell ref="F36:G46"/>
    <mergeCell ref="A37:E37"/>
    <mergeCell ref="J36:K37"/>
  </mergeCells>
  <conditionalFormatting sqref="K5:K34">
    <cfRule type="containsText" dxfId="55" priority="1" operator="containsText" text="Error">
      <formula>NOT(ISERROR(SEARCH("Error",K5)))</formula>
    </cfRule>
    <cfRule type="containsText" dxfId="54" priority="2" operator="containsText" text="Age Not Found">
      <formula>NOT(ISERROR(SEARCH("Age Not Found",K5)))</formula>
    </cfRule>
    <cfRule type="containsText" dxfId="53" priority="3" operator="containsText" text="Beginning">
      <formula>NOT(ISERROR(SEARCH("Beginning",K5)))</formula>
    </cfRule>
    <cfRule type="containsText" dxfId="52" priority="4" operator="containsText" text="Progressing">
      <formula>NOT(ISERROR(SEARCH("Progressing",K5)))</formula>
    </cfRule>
    <cfRule type="containsText" dxfId="51" priority="5" operator="containsText" text="Achieving">
      <formula>NOT(ISERROR(SEARCH("Achieving",K5)))</formula>
    </cfRule>
    <cfRule type="containsText" dxfId="50" priority="6" operator="containsText" text="Excelling">
      <formula>NOT(ISERROR(SEARCH("Excelling",K5)))</formula>
    </cfRule>
  </conditionalFormatting>
  <dataValidations count="1">
    <dataValidation type="list" allowBlank="1" showInputMessage="1" showErrorMessage="1" sqref="B5:H34" xr:uid="{83447BCF-1CBC-403D-B6F4-33EEA2BC10AF}">
      <formula1>"1, 0"</formula1>
    </dataValidation>
  </dataValidations>
  <pageMargins left="0.7" right="0.7" top="0.75" bottom="0.75" header="0.3" footer="0.3"/>
  <pageSetup orientation="portrait"/>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2A0A6-930F-4A3B-902A-EAEB2D4F28D7}">
  <sheetPr codeName="Sheet13">
    <tabColor rgb="FFCCCCFF"/>
    <outlinePr summaryBelow="0" summaryRight="0"/>
  </sheetPr>
  <dimension ref="A1:Q52"/>
  <sheetViews>
    <sheetView showGridLines="0" zoomScale="55" zoomScaleNormal="55" workbookViewId="0">
      <pane xSplit="1" ySplit="3" topLeftCell="B4" activePane="bottomRight" state="frozen"/>
      <selection activeCell="H5" sqref="A5:I34"/>
      <selection pane="topRight" activeCell="H5" sqref="A5:I34"/>
      <selection pane="bottomLeft" activeCell="H5" sqref="A5:I34"/>
      <selection pane="bottomRight" activeCell="E7" sqref="E7"/>
    </sheetView>
  </sheetViews>
  <sheetFormatPr defaultColWidth="12.5546875" defaultRowHeight="15.75" customHeight="1" x14ac:dyDescent="0.25"/>
  <cols>
    <col min="1" max="1" width="27" style="72" customWidth="1"/>
    <col min="2" max="5" width="27.21875" style="72" customWidth="1"/>
    <col min="6" max="6" width="12.77734375" style="72" customWidth="1"/>
    <col min="7" max="7" width="12.5546875" style="72"/>
    <col min="8" max="8" width="12.5546875" style="72" bestFit="1" customWidth="1"/>
    <col min="9" max="16" width="12.5546875" style="72"/>
    <col min="17" max="17" width="23.21875" style="72" customWidth="1"/>
    <col min="18" max="16384" width="12.5546875" style="72"/>
  </cols>
  <sheetData>
    <row r="1" spans="1:17" ht="30" customHeight="1" thickTop="1" thickBot="1" x14ac:dyDescent="0.8">
      <c r="A1" s="386" t="s">
        <v>149</v>
      </c>
      <c r="B1" s="387"/>
      <c r="C1" s="387"/>
      <c r="D1" s="387"/>
      <c r="E1" s="387"/>
      <c r="F1" s="387"/>
      <c r="G1" s="387"/>
      <c r="H1" s="388"/>
      <c r="I1" s="385"/>
      <c r="J1" s="389" t="s">
        <v>20</v>
      </c>
      <c r="K1" s="384"/>
      <c r="L1" s="384"/>
      <c r="M1" s="384"/>
      <c r="N1" s="384"/>
      <c r="O1" s="384"/>
      <c r="P1" s="384"/>
      <c r="Q1" s="390"/>
    </row>
    <row r="2" spans="1:17" ht="40.200000000000003" customHeight="1" thickTop="1" thickBot="1" x14ac:dyDescent="0.55000000000000004">
      <c r="A2" s="216" t="s">
        <v>150</v>
      </c>
      <c r="B2" s="407" t="s">
        <v>151</v>
      </c>
      <c r="C2" s="408"/>
      <c r="D2" s="408"/>
      <c r="E2" s="408" t="s">
        <v>152</v>
      </c>
      <c r="F2" s="408"/>
      <c r="G2" s="408"/>
      <c r="H2" s="409"/>
      <c r="I2" s="385"/>
      <c r="J2" s="391" t="s">
        <v>24</v>
      </c>
      <c r="K2" s="392"/>
      <c r="L2" s="392"/>
      <c r="M2" s="393"/>
      <c r="N2" s="394"/>
      <c r="O2" s="395"/>
      <c r="P2" s="395"/>
      <c r="Q2" s="396"/>
    </row>
    <row r="3" spans="1:17" ht="39.6" customHeight="1" thickTop="1" thickBot="1" x14ac:dyDescent="0.3">
      <c r="A3" s="210" t="s">
        <v>25</v>
      </c>
      <c r="B3" s="73" t="s">
        <v>153</v>
      </c>
      <c r="C3" s="74" t="s">
        <v>154</v>
      </c>
      <c r="D3" s="75" t="s">
        <v>155</v>
      </c>
      <c r="E3" s="76" t="s">
        <v>156</v>
      </c>
      <c r="F3" s="234" t="s">
        <v>226</v>
      </c>
      <c r="G3" s="77" t="s">
        <v>157</v>
      </c>
      <c r="H3" s="78" t="s">
        <v>32</v>
      </c>
      <c r="I3" s="385"/>
      <c r="J3" s="397"/>
      <c r="K3" s="385"/>
      <c r="L3" s="385"/>
      <c r="M3" s="385"/>
      <c r="N3" s="385"/>
      <c r="O3" s="385"/>
      <c r="P3" s="385"/>
      <c r="Q3" s="398"/>
    </row>
    <row r="4" spans="1:17" ht="13.05" customHeight="1" thickTop="1" x14ac:dyDescent="0.25">
      <c r="A4" s="211"/>
      <c r="B4" s="79"/>
      <c r="C4" s="80"/>
      <c r="D4" s="81"/>
      <c r="E4" s="82"/>
      <c r="F4" s="233" t="s">
        <v>5</v>
      </c>
      <c r="G4" s="83"/>
      <c r="H4" s="84"/>
      <c r="I4" s="385"/>
      <c r="J4" s="399"/>
      <c r="K4" s="385"/>
      <c r="L4" s="385"/>
      <c r="M4" s="385"/>
      <c r="N4" s="385"/>
      <c r="O4" s="385"/>
      <c r="P4" s="385"/>
      <c r="Q4" s="398"/>
    </row>
    <row r="5" spans="1:17" ht="30" customHeight="1" x14ac:dyDescent="0.25">
      <c r="A5" s="198" t="str">
        <f>'Class List'!A5</f>
        <v>Student</v>
      </c>
      <c r="B5" s="199">
        <v>3</v>
      </c>
      <c r="C5" s="200">
        <v>3</v>
      </c>
      <c r="D5" s="200">
        <v>4</v>
      </c>
      <c r="E5" s="200">
        <v>1</v>
      </c>
      <c r="F5" s="197">
        <f>'Class List'!$C5</f>
        <v>9</v>
      </c>
      <c r="G5" s="194">
        <f t="shared" ref="G5:G34" si="0">SUM(B5:E5)</f>
        <v>11</v>
      </c>
      <c r="H5" s="195" t="str">
        <f>IFERROR(
   IF(G5 &lt;= INDEX($B$44:$B$50, MATCH(F5, $A$44:$A$50, 0)), "Beginning",
      IF(AND(G5 &gt;= INDEX($C$44:$C$50, MATCH(F5, $A$44:$A$50, 0)),
             G5 &lt;= INDEX($D$44:$D$50, MATCH(F5, $A$44:$A$50, 0))), "Progressing",
         IF(AND(G5 &gt;= INDEX($E$44:$E$50, MATCH(F5, $A$44:$A$50, 0)),
                G5 &lt;= INDEX($F$44:$F$50, MATCH(F5, $A$44:$A$50, 0))), "Achieving",
            IF(G5 &gt;= INDEX($G$44:$G$50, MATCH(F5, $A$44:$A$50, 0)), "Excelling",
               "Error")))),
   "Age Not Found")</f>
        <v>Achieving</v>
      </c>
      <c r="I5" s="385"/>
      <c r="J5" s="399"/>
      <c r="K5" s="385"/>
      <c r="L5" s="385"/>
      <c r="M5" s="385"/>
      <c r="N5" s="385"/>
      <c r="O5" s="385"/>
      <c r="P5" s="385"/>
      <c r="Q5" s="398"/>
    </row>
    <row r="6" spans="1:17" ht="30" customHeight="1" x14ac:dyDescent="0.25">
      <c r="A6" s="198" t="str">
        <f>'Class List'!A6</f>
        <v>Student</v>
      </c>
      <c r="B6" s="201">
        <v>4</v>
      </c>
      <c r="C6" s="202">
        <v>4</v>
      </c>
      <c r="D6" s="202">
        <v>3</v>
      </c>
      <c r="E6" s="202">
        <v>1</v>
      </c>
      <c r="F6" s="197">
        <f>'Class List'!$C6</f>
        <v>10</v>
      </c>
      <c r="G6" s="194">
        <f t="shared" si="0"/>
        <v>12</v>
      </c>
      <c r="H6" s="195" t="str">
        <f t="shared" ref="H6:H34" si="1">IFERROR(
   IF(G6 &lt;= INDEX($B$44:$B$50, MATCH(F6, $A$44:$A$50, 0)), "Beginning",
      IF(AND(G6 &gt;= INDEX($C$44:$C$50, MATCH(F6, $A$44:$A$50, 0)),
             G6 &lt;= INDEX($D$44:$D$50, MATCH(F6, $A$44:$A$50, 0))), "Progressing",
         IF(AND(G6 &gt;= INDEX($E$44:$E$50, MATCH(F6, $A$44:$A$50, 0)),
                G6 &lt;= INDEX($F$44:$F$50, MATCH(F6, $A$44:$A$50, 0))), "Achieving",
            IF(G6 &gt;= INDEX($G$44:$G$50, MATCH(F6, $A$44:$A$50, 0)), "Excelling",
               "Error")))),
   "Age Not Found")</f>
        <v>Achieving</v>
      </c>
      <c r="I6" s="385"/>
      <c r="J6" s="399"/>
      <c r="K6" s="385"/>
      <c r="L6" s="385"/>
      <c r="M6" s="385"/>
      <c r="N6" s="385"/>
      <c r="O6" s="385"/>
      <c r="P6" s="385"/>
      <c r="Q6" s="398"/>
    </row>
    <row r="7" spans="1:17" ht="30" customHeight="1" x14ac:dyDescent="0.25">
      <c r="A7" s="198" t="str">
        <f>'Class List'!A7</f>
        <v>Student</v>
      </c>
      <c r="B7" s="201">
        <v>4</v>
      </c>
      <c r="C7" s="202">
        <v>4</v>
      </c>
      <c r="D7" s="202">
        <v>4</v>
      </c>
      <c r="E7" s="202">
        <v>1</v>
      </c>
      <c r="F7" s="197">
        <f>'Class List'!$C7</f>
        <v>9</v>
      </c>
      <c r="G7" s="194">
        <f t="shared" si="0"/>
        <v>13</v>
      </c>
      <c r="H7" s="195" t="str">
        <f t="shared" si="1"/>
        <v>Achieving</v>
      </c>
      <c r="I7" s="385"/>
      <c r="J7" s="399"/>
      <c r="K7" s="385"/>
      <c r="L7" s="385"/>
      <c r="M7" s="385"/>
      <c r="N7" s="385"/>
      <c r="O7" s="385"/>
      <c r="P7" s="385"/>
      <c r="Q7" s="398"/>
    </row>
    <row r="8" spans="1:17" ht="30" customHeight="1" x14ac:dyDescent="0.25">
      <c r="A8" s="198" t="str">
        <f>'Class List'!A8</f>
        <v>Student</v>
      </c>
      <c r="B8" s="201">
        <v>4</v>
      </c>
      <c r="C8" s="202">
        <v>4</v>
      </c>
      <c r="D8" s="202">
        <v>4</v>
      </c>
      <c r="E8" s="202">
        <v>1</v>
      </c>
      <c r="F8" s="197">
        <f>'Class List'!$C8</f>
        <v>10</v>
      </c>
      <c r="G8" s="194">
        <f t="shared" si="0"/>
        <v>13</v>
      </c>
      <c r="H8" s="195" t="str">
        <f t="shared" si="1"/>
        <v>Achieving</v>
      </c>
      <c r="I8" s="385"/>
      <c r="J8" s="399"/>
      <c r="K8" s="385"/>
      <c r="L8" s="385"/>
      <c r="M8" s="385"/>
      <c r="N8" s="385"/>
      <c r="O8" s="385"/>
      <c r="P8" s="385"/>
      <c r="Q8" s="398"/>
    </row>
    <row r="9" spans="1:17" ht="30" customHeight="1" x14ac:dyDescent="0.25">
      <c r="A9" s="198" t="str">
        <f>'Class List'!A9</f>
        <v>Student</v>
      </c>
      <c r="B9" s="201">
        <v>2</v>
      </c>
      <c r="C9" s="202">
        <v>4</v>
      </c>
      <c r="D9" s="202">
        <v>3</v>
      </c>
      <c r="E9" s="202">
        <v>1</v>
      </c>
      <c r="F9" s="197">
        <f>'Class List'!$C9</f>
        <v>10</v>
      </c>
      <c r="G9" s="194">
        <f t="shared" si="0"/>
        <v>10</v>
      </c>
      <c r="H9" s="195" t="str">
        <f t="shared" si="1"/>
        <v>Achieving</v>
      </c>
      <c r="I9" s="385"/>
      <c r="J9" s="399"/>
      <c r="K9" s="385"/>
      <c r="L9" s="385"/>
      <c r="M9" s="385"/>
      <c r="N9" s="385"/>
      <c r="O9" s="385"/>
      <c r="P9" s="385"/>
      <c r="Q9" s="398"/>
    </row>
    <row r="10" spans="1:17" ht="30" customHeight="1" x14ac:dyDescent="0.25">
      <c r="A10" s="198" t="str">
        <f>'Class List'!A10</f>
        <v>Student</v>
      </c>
      <c r="B10" s="201">
        <v>0</v>
      </c>
      <c r="C10" s="202">
        <v>0</v>
      </c>
      <c r="D10" s="202">
        <v>0</v>
      </c>
      <c r="E10" s="202">
        <v>1</v>
      </c>
      <c r="F10" s="197">
        <f>'Class List'!$C10</f>
        <v>10</v>
      </c>
      <c r="G10" s="194">
        <f t="shared" si="0"/>
        <v>1</v>
      </c>
      <c r="H10" s="195" t="str">
        <f t="shared" si="1"/>
        <v>Beginning</v>
      </c>
      <c r="I10" s="385"/>
      <c r="J10" s="399"/>
      <c r="K10" s="385"/>
      <c r="L10" s="385"/>
      <c r="M10" s="385"/>
      <c r="N10" s="385"/>
      <c r="O10" s="385"/>
      <c r="P10" s="385"/>
      <c r="Q10" s="398"/>
    </row>
    <row r="11" spans="1:17" ht="30" customHeight="1" x14ac:dyDescent="0.25">
      <c r="A11" s="198" t="str">
        <f>'Class List'!A11</f>
        <v>Student</v>
      </c>
      <c r="B11" s="201">
        <v>3</v>
      </c>
      <c r="C11" s="202">
        <v>3</v>
      </c>
      <c r="D11" s="202">
        <v>3</v>
      </c>
      <c r="E11" s="202">
        <v>1</v>
      </c>
      <c r="F11" s="197">
        <f>'Class List'!$C11</f>
        <v>9</v>
      </c>
      <c r="G11" s="194">
        <f t="shared" si="0"/>
        <v>10</v>
      </c>
      <c r="H11" s="195" t="str">
        <f t="shared" si="1"/>
        <v>Achieving</v>
      </c>
      <c r="I11" s="385"/>
      <c r="J11" s="399"/>
      <c r="K11" s="385"/>
      <c r="L11" s="385"/>
      <c r="M11" s="385"/>
      <c r="N11" s="385"/>
      <c r="O11" s="385"/>
      <c r="P11" s="385"/>
      <c r="Q11" s="398"/>
    </row>
    <row r="12" spans="1:17" ht="30" customHeight="1" x14ac:dyDescent="0.25">
      <c r="A12" s="198" t="str">
        <f>'Class List'!A12</f>
        <v>Student</v>
      </c>
      <c r="B12" s="201">
        <v>0</v>
      </c>
      <c r="C12" s="202">
        <v>0</v>
      </c>
      <c r="D12" s="202">
        <v>0</v>
      </c>
      <c r="E12" s="202">
        <v>1</v>
      </c>
      <c r="F12" s="197">
        <f>'Class List'!$C12</f>
        <v>9</v>
      </c>
      <c r="G12" s="194">
        <f t="shared" si="0"/>
        <v>1</v>
      </c>
      <c r="H12" s="195" t="str">
        <f t="shared" si="1"/>
        <v>Beginning</v>
      </c>
      <c r="I12" s="385"/>
      <c r="J12" s="399"/>
      <c r="K12" s="385"/>
      <c r="L12" s="385"/>
      <c r="M12" s="385"/>
      <c r="N12" s="385"/>
      <c r="O12" s="385"/>
      <c r="P12" s="385"/>
      <c r="Q12" s="398"/>
    </row>
    <row r="13" spans="1:17" ht="30" customHeight="1" x14ac:dyDescent="0.25">
      <c r="A13" s="198" t="str">
        <f>'Class List'!A13</f>
        <v>Student</v>
      </c>
      <c r="B13" s="201">
        <v>3</v>
      </c>
      <c r="C13" s="202">
        <v>2</v>
      </c>
      <c r="D13" s="202">
        <v>3</v>
      </c>
      <c r="E13" s="202">
        <v>1</v>
      </c>
      <c r="F13" s="197">
        <f>'Class List'!$C13</f>
        <v>9</v>
      </c>
      <c r="G13" s="194">
        <f t="shared" si="0"/>
        <v>9</v>
      </c>
      <c r="H13" s="195" t="str">
        <f t="shared" si="1"/>
        <v>Progressing</v>
      </c>
      <c r="I13" s="385"/>
      <c r="J13" s="399"/>
      <c r="K13" s="385"/>
      <c r="L13" s="385"/>
      <c r="M13" s="385"/>
      <c r="N13" s="385"/>
      <c r="O13" s="385"/>
      <c r="P13" s="385"/>
      <c r="Q13" s="398"/>
    </row>
    <row r="14" spans="1:17" ht="30" customHeight="1" x14ac:dyDescent="0.25">
      <c r="A14" s="198" t="str">
        <f>'Class List'!A14</f>
        <v>Student</v>
      </c>
      <c r="B14" s="201">
        <v>0</v>
      </c>
      <c r="C14" s="202">
        <v>0</v>
      </c>
      <c r="D14" s="202">
        <v>0</v>
      </c>
      <c r="E14" s="202">
        <v>1</v>
      </c>
      <c r="F14" s="197">
        <f>'Class List'!$C14</f>
        <v>9</v>
      </c>
      <c r="G14" s="194">
        <f t="shared" si="0"/>
        <v>1</v>
      </c>
      <c r="H14" s="195" t="str">
        <f t="shared" si="1"/>
        <v>Beginning</v>
      </c>
      <c r="I14" s="385"/>
      <c r="J14" s="399"/>
      <c r="K14" s="385"/>
      <c r="L14" s="385"/>
      <c r="M14" s="385"/>
      <c r="N14" s="385"/>
      <c r="O14" s="385"/>
      <c r="P14" s="385"/>
      <c r="Q14" s="398"/>
    </row>
    <row r="15" spans="1:17" ht="30" customHeight="1" x14ac:dyDescent="0.25">
      <c r="A15" s="198" t="str">
        <f>'Class List'!A15</f>
        <v>Student</v>
      </c>
      <c r="B15" s="201">
        <v>3</v>
      </c>
      <c r="C15" s="202">
        <v>3</v>
      </c>
      <c r="D15" s="202">
        <v>4</v>
      </c>
      <c r="E15" s="202">
        <v>1</v>
      </c>
      <c r="F15" s="197">
        <f>'Class List'!$C15</f>
        <v>10</v>
      </c>
      <c r="G15" s="194">
        <f t="shared" si="0"/>
        <v>11</v>
      </c>
      <c r="H15" s="195" t="str">
        <f t="shared" si="1"/>
        <v>Achieving</v>
      </c>
      <c r="I15" s="385"/>
      <c r="J15" s="399"/>
      <c r="K15" s="385"/>
      <c r="L15" s="385"/>
      <c r="M15" s="385"/>
      <c r="N15" s="385"/>
      <c r="O15" s="385"/>
      <c r="P15" s="385"/>
      <c r="Q15" s="398"/>
    </row>
    <row r="16" spans="1:17" ht="30" customHeight="1" x14ac:dyDescent="0.25">
      <c r="A16" s="198" t="str">
        <f>'Class List'!A16</f>
        <v>Student</v>
      </c>
      <c r="B16" s="201">
        <v>3</v>
      </c>
      <c r="C16" s="202">
        <v>2</v>
      </c>
      <c r="D16" s="202">
        <v>3</v>
      </c>
      <c r="E16" s="202">
        <v>1</v>
      </c>
      <c r="F16" s="197">
        <f>'Class List'!$C16</f>
        <v>9</v>
      </c>
      <c r="G16" s="194">
        <f t="shared" si="0"/>
        <v>9</v>
      </c>
      <c r="H16" s="195" t="str">
        <f t="shared" si="1"/>
        <v>Progressing</v>
      </c>
      <c r="I16" s="385"/>
      <c r="J16" s="399"/>
      <c r="K16" s="385"/>
      <c r="L16" s="385"/>
      <c r="M16" s="385"/>
      <c r="N16" s="385"/>
      <c r="O16" s="385"/>
      <c r="P16" s="385"/>
      <c r="Q16" s="398"/>
    </row>
    <row r="17" spans="1:17" ht="30" customHeight="1" x14ac:dyDescent="0.25">
      <c r="A17" s="198" t="str">
        <f>'Class List'!A17</f>
        <v>Student</v>
      </c>
      <c r="B17" s="201">
        <v>3</v>
      </c>
      <c r="C17" s="202">
        <v>4</v>
      </c>
      <c r="D17" s="202">
        <v>3</v>
      </c>
      <c r="E17" s="202">
        <v>1</v>
      </c>
      <c r="F17" s="197">
        <f>'Class List'!$C17</f>
        <v>9</v>
      </c>
      <c r="G17" s="194">
        <f t="shared" si="0"/>
        <v>11</v>
      </c>
      <c r="H17" s="195" t="str">
        <f t="shared" si="1"/>
        <v>Achieving</v>
      </c>
      <c r="I17" s="385"/>
      <c r="J17" s="399"/>
      <c r="K17" s="385"/>
      <c r="L17" s="385"/>
      <c r="M17" s="385"/>
      <c r="N17" s="385"/>
      <c r="O17" s="385"/>
      <c r="P17" s="385"/>
      <c r="Q17" s="398"/>
    </row>
    <row r="18" spans="1:17" ht="30" customHeight="1" x14ac:dyDescent="0.25">
      <c r="A18" s="198" t="str">
        <f>'Class List'!A18</f>
        <v>Student</v>
      </c>
      <c r="B18" s="201">
        <v>2</v>
      </c>
      <c r="C18" s="202">
        <v>2</v>
      </c>
      <c r="D18" s="202">
        <v>3</v>
      </c>
      <c r="E18" s="202">
        <v>1</v>
      </c>
      <c r="F18" s="197">
        <f>'Class List'!$C18</f>
        <v>10</v>
      </c>
      <c r="G18" s="194">
        <f t="shared" si="0"/>
        <v>8</v>
      </c>
      <c r="H18" s="195" t="str">
        <f t="shared" si="1"/>
        <v>Progressing</v>
      </c>
      <c r="I18" s="385"/>
      <c r="J18" s="399"/>
      <c r="K18" s="385"/>
      <c r="L18" s="385"/>
      <c r="M18" s="385"/>
      <c r="N18" s="385"/>
      <c r="O18" s="385"/>
      <c r="P18" s="385"/>
      <c r="Q18" s="398"/>
    </row>
    <row r="19" spans="1:17" ht="30" customHeight="1" x14ac:dyDescent="0.25">
      <c r="A19" s="198" t="str">
        <f>'Class List'!A19</f>
        <v>Student</v>
      </c>
      <c r="B19" s="201">
        <v>4</v>
      </c>
      <c r="C19" s="202">
        <v>3</v>
      </c>
      <c r="D19" s="202">
        <v>4</v>
      </c>
      <c r="E19" s="202">
        <v>1</v>
      </c>
      <c r="F19" s="197">
        <f>'Class List'!$C19</f>
        <v>10</v>
      </c>
      <c r="G19" s="194">
        <f t="shared" si="0"/>
        <v>12</v>
      </c>
      <c r="H19" s="195" t="str">
        <f t="shared" si="1"/>
        <v>Achieving</v>
      </c>
      <c r="I19" s="385"/>
      <c r="J19" s="399"/>
      <c r="K19" s="385"/>
      <c r="L19" s="385"/>
      <c r="M19" s="385"/>
      <c r="N19" s="385"/>
      <c r="O19" s="385"/>
      <c r="P19" s="385"/>
      <c r="Q19" s="398"/>
    </row>
    <row r="20" spans="1:17" ht="30" customHeight="1" x14ac:dyDescent="0.25">
      <c r="A20" s="198" t="str">
        <f>'Class List'!A20</f>
        <v>Student</v>
      </c>
      <c r="B20" s="201">
        <v>0</v>
      </c>
      <c r="C20" s="202">
        <v>0</v>
      </c>
      <c r="D20" s="202">
        <v>0</v>
      </c>
      <c r="E20" s="202">
        <v>1</v>
      </c>
      <c r="F20" s="197">
        <f>'Class List'!$C20</f>
        <v>10</v>
      </c>
      <c r="G20" s="194">
        <f t="shared" si="0"/>
        <v>1</v>
      </c>
      <c r="H20" s="195" t="str">
        <f t="shared" si="1"/>
        <v>Beginning</v>
      </c>
      <c r="I20" s="385"/>
      <c r="J20" s="399"/>
      <c r="K20" s="385"/>
      <c r="L20" s="385"/>
      <c r="M20" s="385"/>
      <c r="N20" s="385"/>
      <c r="O20" s="385"/>
      <c r="P20" s="385"/>
      <c r="Q20" s="398"/>
    </row>
    <row r="21" spans="1:17" ht="30" customHeight="1" x14ac:dyDescent="0.25">
      <c r="A21" s="198" t="str">
        <f>'Class List'!A21</f>
        <v>Student</v>
      </c>
      <c r="B21" s="201">
        <v>2</v>
      </c>
      <c r="C21" s="202">
        <v>2</v>
      </c>
      <c r="D21" s="202">
        <v>1</v>
      </c>
      <c r="E21" s="202">
        <v>1</v>
      </c>
      <c r="F21" s="197">
        <f>'Class List'!$C21</f>
        <v>9</v>
      </c>
      <c r="G21" s="194">
        <f t="shared" si="0"/>
        <v>6</v>
      </c>
      <c r="H21" s="195" t="str">
        <f t="shared" si="1"/>
        <v>Progressing</v>
      </c>
      <c r="I21" s="385"/>
      <c r="J21" s="399"/>
      <c r="K21" s="385"/>
      <c r="L21" s="385"/>
      <c r="M21" s="385"/>
      <c r="N21" s="385"/>
      <c r="O21" s="385"/>
      <c r="P21" s="385"/>
      <c r="Q21" s="398"/>
    </row>
    <row r="22" spans="1:17" ht="30" customHeight="1" x14ac:dyDescent="0.25">
      <c r="A22" s="198" t="str">
        <f>'Class List'!A22</f>
        <v>Student</v>
      </c>
      <c r="B22" s="201">
        <v>0</v>
      </c>
      <c r="C22" s="202">
        <v>0</v>
      </c>
      <c r="D22" s="202">
        <v>0</v>
      </c>
      <c r="E22" s="202">
        <v>1</v>
      </c>
      <c r="F22" s="197">
        <f>'Class List'!$C22</f>
        <v>10</v>
      </c>
      <c r="G22" s="194">
        <f t="shared" si="0"/>
        <v>1</v>
      </c>
      <c r="H22" s="195" t="str">
        <f t="shared" si="1"/>
        <v>Beginning</v>
      </c>
      <c r="I22" s="385"/>
      <c r="J22" s="399"/>
      <c r="K22" s="385"/>
      <c r="L22" s="385"/>
      <c r="M22" s="385"/>
      <c r="N22" s="385"/>
      <c r="O22" s="385"/>
      <c r="P22" s="385"/>
      <c r="Q22" s="398"/>
    </row>
    <row r="23" spans="1:17" ht="30" customHeight="1" x14ac:dyDescent="0.25">
      <c r="A23" s="198" t="str">
        <f>'Class List'!A23</f>
        <v>Student</v>
      </c>
      <c r="B23" s="201">
        <v>0</v>
      </c>
      <c r="C23" s="202">
        <v>0</v>
      </c>
      <c r="D23" s="202">
        <v>0</v>
      </c>
      <c r="E23" s="202">
        <v>1</v>
      </c>
      <c r="F23" s="197">
        <f>'Class List'!$C23</f>
        <v>10</v>
      </c>
      <c r="G23" s="194">
        <f t="shared" si="0"/>
        <v>1</v>
      </c>
      <c r="H23" s="195" t="str">
        <f t="shared" si="1"/>
        <v>Beginning</v>
      </c>
      <c r="I23" s="385"/>
      <c r="J23" s="399"/>
      <c r="K23" s="385"/>
      <c r="L23" s="385"/>
      <c r="M23" s="385"/>
      <c r="N23" s="385"/>
      <c r="O23" s="385"/>
      <c r="P23" s="385"/>
      <c r="Q23" s="398"/>
    </row>
    <row r="24" spans="1:17" ht="30" customHeight="1" x14ac:dyDescent="0.25">
      <c r="A24" s="198" t="str">
        <f>'Class List'!A24</f>
        <v>Student</v>
      </c>
      <c r="B24" s="201">
        <v>0</v>
      </c>
      <c r="C24" s="202">
        <v>0</v>
      </c>
      <c r="D24" s="202">
        <v>0</v>
      </c>
      <c r="E24" s="202">
        <v>1</v>
      </c>
      <c r="F24" s="197">
        <f>'Class List'!$C24</f>
        <v>9</v>
      </c>
      <c r="G24" s="194">
        <f t="shared" si="0"/>
        <v>1</v>
      </c>
      <c r="H24" s="195" t="str">
        <f t="shared" si="1"/>
        <v>Beginning</v>
      </c>
      <c r="I24" s="385"/>
      <c r="J24" s="399"/>
      <c r="K24" s="385"/>
      <c r="L24" s="385"/>
      <c r="M24" s="385"/>
      <c r="N24" s="385"/>
      <c r="O24" s="385"/>
      <c r="P24" s="385"/>
      <c r="Q24" s="398"/>
    </row>
    <row r="25" spans="1:17" ht="30" customHeight="1" x14ac:dyDescent="0.25">
      <c r="A25" s="198" t="str">
        <f>'Class List'!A25</f>
        <v>Student</v>
      </c>
      <c r="B25" s="201">
        <v>3</v>
      </c>
      <c r="C25" s="202">
        <v>3</v>
      </c>
      <c r="D25" s="202">
        <v>3</v>
      </c>
      <c r="E25" s="202">
        <v>1</v>
      </c>
      <c r="F25" s="197">
        <f>'Class List'!$C25</f>
        <v>10</v>
      </c>
      <c r="G25" s="194">
        <f t="shared" si="0"/>
        <v>10</v>
      </c>
      <c r="H25" s="195" t="str">
        <f t="shared" si="1"/>
        <v>Achieving</v>
      </c>
      <c r="I25" s="385"/>
      <c r="J25" s="399"/>
      <c r="K25" s="385"/>
      <c r="L25" s="385"/>
      <c r="M25" s="385"/>
      <c r="N25" s="385"/>
      <c r="O25" s="385"/>
      <c r="P25" s="385"/>
      <c r="Q25" s="398"/>
    </row>
    <row r="26" spans="1:17" ht="30" customHeight="1" x14ac:dyDescent="0.25">
      <c r="A26" s="198" t="str">
        <f>'Class List'!A26</f>
        <v>Student</v>
      </c>
      <c r="B26" s="201">
        <v>4</v>
      </c>
      <c r="C26" s="202">
        <v>4</v>
      </c>
      <c r="D26" s="202">
        <v>3</v>
      </c>
      <c r="E26" s="202">
        <v>1</v>
      </c>
      <c r="F26" s="197">
        <f>'Class List'!$C26</f>
        <v>10</v>
      </c>
      <c r="G26" s="194">
        <f t="shared" si="0"/>
        <v>12</v>
      </c>
      <c r="H26" s="195" t="str">
        <f t="shared" si="1"/>
        <v>Achieving</v>
      </c>
      <c r="I26" s="385"/>
      <c r="J26" s="399"/>
      <c r="K26" s="385"/>
      <c r="L26" s="385"/>
      <c r="M26" s="385"/>
      <c r="N26" s="385"/>
      <c r="O26" s="385"/>
      <c r="P26" s="385"/>
      <c r="Q26" s="398"/>
    </row>
    <row r="27" spans="1:17" ht="30" customHeight="1" x14ac:dyDescent="0.25">
      <c r="A27" s="198" t="str">
        <f>'Class List'!A27</f>
        <v>Student</v>
      </c>
      <c r="B27" s="201">
        <v>3</v>
      </c>
      <c r="C27" s="202">
        <v>4</v>
      </c>
      <c r="D27" s="202">
        <v>4</v>
      </c>
      <c r="E27" s="202">
        <v>1</v>
      </c>
      <c r="F27" s="197">
        <f>'Class List'!$C27</f>
        <v>9</v>
      </c>
      <c r="G27" s="194">
        <f t="shared" si="0"/>
        <v>12</v>
      </c>
      <c r="H27" s="195" t="str">
        <f t="shared" si="1"/>
        <v>Achieving</v>
      </c>
      <c r="I27" s="385"/>
      <c r="J27" s="399"/>
      <c r="K27" s="385"/>
      <c r="L27" s="385"/>
      <c r="M27" s="385"/>
      <c r="N27" s="385"/>
      <c r="O27" s="385"/>
      <c r="P27" s="385"/>
      <c r="Q27" s="398"/>
    </row>
    <row r="28" spans="1:17" ht="30" customHeight="1" x14ac:dyDescent="0.25">
      <c r="A28" s="198" t="str">
        <f>'Class List'!A28</f>
        <v>Student</v>
      </c>
      <c r="B28" s="201">
        <v>4</v>
      </c>
      <c r="C28" s="202">
        <v>4</v>
      </c>
      <c r="D28" s="202">
        <v>4</v>
      </c>
      <c r="E28" s="202">
        <v>1</v>
      </c>
      <c r="F28" s="197">
        <f>'Class List'!$C28</f>
        <v>9</v>
      </c>
      <c r="G28" s="194">
        <f t="shared" si="0"/>
        <v>13</v>
      </c>
      <c r="H28" s="195" t="str">
        <f t="shared" si="1"/>
        <v>Achieving</v>
      </c>
      <c r="I28" s="385"/>
      <c r="J28" s="399"/>
      <c r="K28" s="385"/>
      <c r="L28" s="385"/>
      <c r="M28" s="385"/>
      <c r="N28" s="385"/>
      <c r="O28" s="385"/>
      <c r="P28" s="385"/>
      <c r="Q28" s="398"/>
    </row>
    <row r="29" spans="1:17" ht="30" customHeight="1" x14ac:dyDescent="0.25">
      <c r="A29" s="198" t="str">
        <f>'Class List'!A29</f>
        <v>Student</v>
      </c>
      <c r="B29" s="201">
        <v>0</v>
      </c>
      <c r="C29" s="202">
        <v>0</v>
      </c>
      <c r="D29" s="202">
        <v>0</v>
      </c>
      <c r="E29" s="202">
        <v>1</v>
      </c>
      <c r="F29" s="197">
        <f>'Class List'!$C29</f>
        <v>9</v>
      </c>
      <c r="G29" s="194">
        <f t="shared" si="0"/>
        <v>1</v>
      </c>
      <c r="H29" s="195" t="str">
        <f t="shared" si="1"/>
        <v>Beginning</v>
      </c>
      <c r="I29" s="385"/>
      <c r="J29" s="399"/>
      <c r="K29" s="385"/>
      <c r="L29" s="385"/>
      <c r="M29" s="385"/>
      <c r="N29" s="385"/>
      <c r="O29" s="385"/>
      <c r="P29" s="385"/>
      <c r="Q29" s="398"/>
    </row>
    <row r="30" spans="1:17" ht="30" customHeight="1" x14ac:dyDescent="0.25">
      <c r="A30" s="198" t="str">
        <f>'Class List'!A30</f>
        <v>Student</v>
      </c>
      <c r="B30" s="201">
        <v>3</v>
      </c>
      <c r="C30" s="202">
        <v>3</v>
      </c>
      <c r="D30" s="202">
        <v>2</v>
      </c>
      <c r="E30" s="202">
        <v>1</v>
      </c>
      <c r="F30" s="197">
        <f>'Class List'!$C30</f>
        <v>9</v>
      </c>
      <c r="G30" s="194">
        <f t="shared" si="0"/>
        <v>9</v>
      </c>
      <c r="H30" s="195" t="str">
        <f t="shared" si="1"/>
        <v>Progressing</v>
      </c>
      <c r="I30" s="385"/>
      <c r="J30" s="399"/>
      <c r="K30" s="385"/>
      <c r="L30" s="385"/>
      <c r="M30" s="385"/>
      <c r="N30" s="385"/>
      <c r="O30" s="385"/>
      <c r="P30" s="385"/>
      <c r="Q30" s="398"/>
    </row>
    <row r="31" spans="1:17" ht="30" customHeight="1" x14ac:dyDescent="0.25">
      <c r="A31" s="198">
        <f>'Class List'!A31</f>
        <v>0</v>
      </c>
      <c r="B31" s="201">
        <v>0</v>
      </c>
      <c r="C31" s="202">
        <v>0</v>
      </c>
      <c r="D31" s="202">
        <v>0</v>
      </c>
      <c r="E31" s="202">
        <v>0</v>
      </c>
      <c r="F31" s="197">
        <f>'Class List'!$C31</f>
        <v>0</v>
      </c>
      <c r="G31" s="194">
        <f t="shared" si="0"/>
        <v>0</v>
      </c>
      <c r="H31" s="195" t="str">
        <f t="shared" si="1"/>
        <v>Age Not Found</v>
      </c>
      <c r="I31" s="385"/>
      <c r="J31" s="399"/>
      <c r="K31" s="385"/>
      <c r="L31" s="385"/>
      <c r="M31" s="385"/>
      <c r="N31" s="385"/>
      <c r="O31" s="385"/>
      <c r="P31" s="385"/>
      <c r="Q31" s="398"/>
    </row>
    <row r="32" spans="1:17" ht="30" customHeight="1" x14ac:dyDescent="0.25">
      <c r="A32" s="198">
        <f>'Class List'!A32</f>
        <v>0</v>
      </c>
      <c r="B32" s="201">
        <v>4</v>
      </c>
      <c r="C32" s="202">
        <v>4</v>
      </c>
      <c r="D32" s="202">
        <v>4</v>
      </c>
      <c r="E32" s="202">
        <v>4</v>
      </c>
      <c r="F32" s="197">
        <f>'Class List'!$C32</f>
        <v>0</v>
      </c>
      <c r="G32" s="194">
        <f t="shared" si="0"/>
        <v>16</v>
      </c>
      <c r="H32" s="195" t="str">
        <f t="shared" si="1"/>
        <v>Age Not Found</v>
      </c>
      <c r="I32" s="385"/>
      <c r="J32" s="399"/>
      <c r="K32" s="385"/>
      <c r="L32" s="385"/>
      <c r="M32" s="385"/>
      <c r="N32" s="385"/>
      <c r="O32" s="385"/>
      <c r="P32" s="385"/>
      <c r="Q32" s="398"/>
    </row>
    <row r="33" spans="1:17" ht="30" customHeight="1" x14ac:dyDescent="0.25">
      <c r="A33" s="198">
        <f>'Class List'!A33</f>
        <v>0</v>
      </c>
      <c r="B33" s="201">
        <v>0</v>
      </c>
      <c r="C33" s="202">
        <v>0</v>
      </c>
      <c r="D33" s="202">
        <v>0</v>
      </c>
      <c r="E33" s="202">
        <v>0</v>
      </c>
      <c r="F33" s="197">
        <f>'Class List'!$C33</f>
        <v>0</v>
      </c>
      <c r="G33" s="194">
        <f t="shared" si="0"/>
        <v>0</v>
      </c>
      <c r="H33" s="195" t="str">
        <f t="shared" si="1"/>
        <v>Age Not Found</v>
      </c>
      <c r="I33" s="385"/>
      <c r="J33" s="399"/>
      <c r="K33" s="385"/>
      <c r="L33" s="385"/>
      <c r="M33" s="385"/>
      <c r="N33" s="385"/>
      <c r="O33" s="385"/>
      <c r="P33" s="385"/>
      <c r="Q33" s="398"/>
    </row>
    <row r="34" spans="1:17" ht="30" customHeight="1" thickBot="1" x14ac:dyDescent="0.3">
      <c r="A34" s="198"/>
      <c r="B34" s="203">
        <v>0</v>
      </c>
      <c r="C34" s="204">
        <v>0</v>
      </c>
      <c r="D34" s="204">
        <v>0</v>
      </c>
      <c r="E34" s="204">
        <v>0</v>
      </c>
      <c r="F34" s="197">
        <f>'Class List'!$C34</f>
        <v>0</v>
      </c>
      <c r="G34" s="194">
        <f t="shared" si="0"/>
        <v>0</v>
      </c>
      <c r="H34" s="195" t="str">
        <f t="shared" si="1"/>
        <v>Age Not Found</v>
      </c>
      <c r="I34" s="385"/>
      <c r="J34" s="399"/>
      <c r="K34" s="385"/>
      <c r="L34" s="385"/>
      <c r="M34" s="385"/>
      <c r="N34" s="385"/>
      <c r="O34" s="385"/>
      <c r="P34" s="385"/>
      <c r="Q34" s="398"/>
    </row>
    <row r="35" spans="1:17" ht="13.05" customHeight="1" thickTop="1" thickBot="1" x14ac:dyDescent="0.3">
      <c r="A35" s="212" t="s">
        <v>34</v>
      </c>
      <c r="B35" s="213">
        <f>SUM(B5:B34)</f>
        <v>61</v>
      </c>
      <c r="C35" s="213">
        <f>SUM(C5:C34)</f>
        <v>62</v>
      </c>
      <c r="D35" s="213">
        <f>SUM(D5:D34)</f>
        <v>62</v>
      </c>
      <c r="E35" s="213">
        <f>SUM(E5:E34)</f>
        <v>30</v>
      </c>
      <c r="F35" s="213"/>
      <c r="G35" s="214"/>
      <c r="H35" s="215"/>
      <c r="I35" s="385"/>
      <c r="J35" s="399"/>
      <c r="K35" s="385"/>
      <c r="L35" s="385"/>
      <c r="M35" s="385"/>
      <c r="N35" s="385"/>
      <c r="O35" s="385"/>
      <c r="P35" s="385"/>
      <c r="Q35" s="398"/>
    </row>
    <row r="36" spans="1:17" ht="15.6" customHeight="1" thickTop="1" x14ac:dyDescent="0.25">
      <c r="E36" s="85"/>
      <c r="F36" s="85"/>
      <c r="G36" s="403"/>
      <c r="H36" s="385"/>
      <c r="I36" s="385"/>
      <c r="J36" s="399"/>
      <c r="K36" s="385"/>
      <c r="L36" s="385"/>
      <c r="M36" s="385"/>
      <c r="N36" s="385"/>
      <c r="O36" s="385"/>
      <c r="P36" s="385"/>
      <c r="Q36" s="398"/>
    </row>
    <row r="37" spans="1:17" ht="13.05" customHeight="1" x14ac:dyDescent="0.25">
      <c r="G37" s="385"/>
      <c r="H37" s="385"/>
      <c r="I37" s="385"/>
      <c r="J37" s="399"/>
      <c r="K37" s="385"/>
      <c r="L37" s="385"/>
      <c r="M37" s="385"/>
      <c r="N37" s="385"/>
      <c r="O37" s="385"/>
      <c r="P37" s="385"/>
      <c r="Q37" s="398"/>
    </row>
    <row r="38" spans="1:17" ht="13.05" customHeight="1" x14ac:dyDescent="0.25">
      <c r="G38" s="86" t="s">
        <v>41</v>
      </c>
      <c r="H38" s="87"/>
      <c r="I38" s="385"/>
      <c r="J38" s="399"/>
      <c r="K38" s="385"/>
      <c r="L38" s="385"/>
      <c r="M38" s="385"/>
      <c r="N38" s="385"/>
      <c r="O38" s="385"/>
      <c r="P38" s="385"/>
      <c r="Q38" s="398"/>
    </row>
    <row r="39" spans="1:17" ht="12.6" customHeight="1" x14ac:dyDescent="0.25">
      <c r="G39" s="88" t="s">
        <v>42</v>
      </c>
      <c r="H39" s="89">
        <f>COUNTIF(H$5:H$34, "Beginning")</f>
        <v>8</v>
      </c>
      <c r="I39" s="385"/>
      <c r="J39" s="399"/>
      <c r="K39" s="385"/>
      <c r="L39" s="385"/>
      <c r="M39" s="385"/>
      <c r="N39" s="385"/>
      <c r="O39" s="385"/>
      <c r="P39" s="385"/>
      <c r="Q39" s="398"/>
    </row>
    <row r="40" spans="1:17" ht="12.6" customHeight="1" x14ac:dyDescent="0.25">
      <c r="G40" s="88" t="s">
        <v>38</v>
      </c>
      <c r="H40" s="89">
        <f>COUNTIF(H$5:H$34, "Progressing")</f>
        <v>5</v>
      </c>
      <c r="I40" s="385"/>
      <c r="J40" s="399"/>
      <c r="K40" s="385"/>
      <c r="L40" s="385"/>
      <c r="M40" s="385"/>
      <c r="N40" s="385"/>
      <c r="O40" s="385"/>
      <c r="P40" s="385"/>
      <c r="Q40" s="398"/>
    </row>
    <row r="41" spans="1:17" ht="12.6" customHeight="1" x14ac:dyDescent="0.25">
      <c r="G41" s="88" t="s">
        <v>43</v>
      </c>
      <c r="H41" s="89">
        <f>COUNTIF(H$5:H$34, "Achieving")</f>
        <v>13</v>
      </c>
      <c r="I41" s="385"/>
      <c r="J41" s="399"/>
      <c r="K41" s="385"/>
      <c r="L41" s="385"/>
      <c r="M41" s="385"/>
      <c r="N41" s="385"/>
      <c r="O41" s="385"/>
      <c r="P41" s="385"/>
      <c r="Q41" s="398"/>
    </row>
    <row r="42" spans="1:17" ht="12.6" customHeight="1" x14ac:dyDescent="0.25">
      <c r="G42" s="88" t="s">
        <v>40</v>
      </c>
      <c r="H42" s="89">
        <f>COUNTIF(H$5:H$34, "Excelling")</f>
        <v>0</v>
      </c>
      <c r="I42" s="385"/>
      <c r="J42" s="399"/>
      <c r="K42" s="385"/>
      <c r="L42" s="385"/>
      <c r="M42" s="385"/>
      <c r="N42" s="385"/>
      <c r="O42" s="385"/>
      <c r="P42" s="385"/>
      <c r="Q42" s="398"/>
    </row>
    <row r="43" spans="1:17" ht="12.6" customHeight="1" thickBot="1" x14ac:dyDescent="0.3">
      <c r="G43" s="90"/>
      <c r="H43" s="90"/>
      <c r="I43" s="385"/>
      <c r="J43" s="399"/>
      <c r="K43" s="385"/>
      <c r="L43" s="385"/>
      <c r="M43" s="385"/>
      <c r="N43" s="385"/>
      <c r="O43" s="385"/>
      <c r="P43" s="385"/>
      <c r="Q43" s="398"/>
    </row>
    <row r="44" spans="1:17" ht="12.6" customHeight="1" thickBot="1" x14ac:dyDescent="0.3">
      <c r="A44" s="404" t="s">
        <v>35</v>
      </c>
      <c r="B44" s="405"/>
      <c r="C44" s="405"/>
      <c r="D44" s="405"/>
      <c r="E44" s="405"/>
      <c r="F44" s="405"/>
      <c r="G44" s="406"/>
      <c r="I44" s="385"/>
      <c r="J44" s="400"/>
      <c r="K44" s="401"/>
      <c r="L44" s="401"/>
      <c r="M44" s="401"/>
      <c r="N44" s="401"/>
      <c r="O44" s="401"/>
      <c r="P44" s="401"/>
      <c r="Q44" s="402"/>
    </row>
    <row r="45" spans="1:17" ht="12.6" customHeight="1" thickTop="1" x14ac:dyDescent="0.25">
      <c r="A45" s="381"/>
      <c r="B45" s="382"/>
      <c r="C45" s="382"/>
      <c r="D45" s="382"/>
      <c r="E45" s="382"/>
      <c r="F45" s="382"/>
      <c r="G45" s="383"/>
      <c r="I45" s="385"/>
      <c r="J45" s="384"/>
      <c r="K45" s="384"/>
      <c r="L45" s="384"/>
      <c r="M45" s="384"/>
      <c r="N45" s="384"/>
      <c r="O45" s="384"/>
      <c r="P45" s="384"/>
      <c r="Q45" s="384"/>
    </row>
    <row r="46" spans="1:17" ht="12.6" customHeight="1" x14ac:dyDescent="0.25">
      <c r="A46" s="91" t="s">
        <v>5</v>
      </c>
      <c r="B46" s="92" t="s">
        <v>37</v>
      </c>
      <c r="C46" s="92" t="s">
        <v>158</v>
      </c>
      <c r="D46" s="92" t="s">
        <v>159</v>
      </c>
      <c r="E46" s="93" t="s">
        <v>160</v>
      </c>
      <c r="F46" s="93" t="s">
        <v>161</v>
      </c>
      <c r="G46" s="94" t="s">
        <v>40</v>
      </c>
      <c r="I46" s="385"/>
      <c r="J46" s="385"/>
      <c r="K46" s="385"/>
      <c r="L46" s="385"/>
      <c r="M46" s="385"/>
      <c r="N46" s="385"/>
      <c r="O46" s="385"/>
      <c r="P46" s="385"/>
      <c r="Q46" s="385"/>
    </row>
    <row r="47" spans="1:17" ht="15.75" customHeight="1" x14ac:dyDescent="0.25">
      <c r="A47" s="95">
        <v>9</v>
      </c>
      <c r="B47" s="96">
        <v>5</v>
      </c>
      <c r="C47" s="96">
        <v>6</v>
      </c>
      <c r="D47" s="96">
        <v>9</v>
      </c>
      <c r="E47" s="96">
        <v>10</v>
      </c>
      <c r="F47" s="96">
        <v>13</v>
      </c>
      <c r="G47" s="97">
        <v>14</v>
      </c>
    </row>
    <row r="48" spans="1:17" ht="12.6" customHeight="1" x14ac:dyDescent="0.25">
      <c r="A48" s="98">
        <v>10</v>
      </c>
      <c r="B48" s="96">
        <v>5</v>
      </c>
      <c r="C48" s="96">
        <v>6</v>
      </c>
      <c r="D48" s="96">
        <v>9</v>
      </c>
      <c r="E48" s="96">
        <v>10</v>
      </c>
      <c r="F48" s="96">
        <v>13</v>
      </c>
      <c r="G48" s="97">
        <v>14</v>
      </c>
    </row>
    <row r="49" spans="1:7" ht="12.6" customHeight="1" x14ac:dyDescent="0.25">
      <c r="A49" s="99">
        <v>11</v>
      </c>
      <c r="B49" s="96">
        <v>7</v>
      </c>
      <c r="C49" s="96">
        <v>8</v>
      </c>
      <c r="D49" s="96">
        <v>11</v>
      </c>
      <c r="E49" s="96">
        <v>12</v>
      </c>
      <c r="F49" s="96">
        <v>15</v>
      </c>
      <c r="G49" s="97">
        <v>16</v>
      </c>
    </row>
    <row r="50" spans="1:7" ht="12.6" customHeight="1" thickBot="1" x14ac:dyDescent="0.3">
      <c r="A50" s="100">
        <v>12</v>
      </c>
      <c r="B50" s="101">
        <v>7</v>
      </c>
      <c r="C50" s="101">
        <v>8</v>
      </c>
      <c r="D50" s="101">
        <v>11</v>
      </c>
      <c r="E50" s="101">
        <v>12</v>
      </c>
      <c r="F50" s="101">
        <v>15</v>
      </c>
      <c r="G50" s="102">
        <v>16</v>
      </c>
    </row>
    <row r="51" spans="1:7" ht="12.6" customHeight="1" x14ac:dyDescent="0.25"/>
    <row r="52" spans="1:7" ht="12.6" customHeight="1" x14ac:dyDescent="0.25"/>
  </sheetData>
  <mergeCells count="12">
    <mergeCell ref="A45:G45"/>
    <mergeCell ref="J45:Q46"/>
    <mergeCell ref="A1:H1"/>
    <mergeCell ref="I1:I46"/>
    <mergeCell ref="J1:Q1"/>
    <mergeCell ref="J2:M2"/>
    <mergeCell ref="N2:Q2"/>
    <mergeCell ref="J3:Q44"/>
    <mergeCell ref="G36:H37"/>
    <mergeCell ref="A44:G44"/>
    <mergeCell ref="B2:D2"/>
    <mergeCell ref="E2:H2"/>
  </mergeCells>
  <conditionalFormatting sqref="H5:H34">
    <cfRule type="containsText" dxfId="38" priority="1" operator="containsText" text="Error">
      <formula>NOT(ISERROR(SEARCH("Error",H5)))</formula>
    </cfRule>
    <cfRule type="containsText" dxfId="37" priority="2" operator="containsText" text="Age Not Found">
      <formula>NOT(ISERROR(SEARCH("Age Not Found",H5)))</formula>
    </cfRule>
    <cfRule type="containsText" dxfId="36" priority="3" operator="containsText" text="Beginning">
      <formula>NOT(ISERROR(SEARCH("Beginning",H5)))</formula>
    </cfRule>
    <cfRule type="containsText" dxfId="35" priority="4" operator="containsText" text="Progressing">
      <formula>NOT(ISERROR(SEARCH("Progressing",H5)))</formula>
    </cfRule>
    <cfRule type="containsText" dxfId="34" priority="5" operator="containsText" text="Achieving">
      <formula>NOT(ISERROR(SEARCH("Achieving",H5)))</formula>
    </cfRule>
    <cfRule type="containsText" dxfId="33" priority="6" operator="containsText" text="Excelling">
      <formula>NOT(ISERROR(SEARCH("Excelling",H5)))</formula>
    </cfRule>
  </conditionalFormatting>
  <dataValidations count="1">
    <dataValidation type="list" allowBlank="1" showInputMessage="1" showErrorMessage="1" sqref="B5:E34" xr:uid="{203AB8B1-9B8A-4D06-9DD6-68C2A73E32D1}">
      <formula1>"0, 1, 2, 3, 4"</formula1>
    </dataValidation>
  </dataValidations>
  <pageMargins left="0.7" right="0.7" top="0.75" bottom="0.75" header="0.3" footer="0.3"/>
  <pageSetup orientation="portrait" horizontalDpi="1200" verticalDpi="1200"/>
  <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68287-DC91-4B85-A73D-0055D3398E1B}">
  <sheetPr codeName="Sheet18">
    <tabColor rgb="FFCCCCFF"/>
  </sheetPr>
  <dimension ref="A1:AV59"/>
  <sheetViews>
    <sheetView topLeftCell="A4" zoomScale="55" zoomScaleNormal="55" workbookViewId="0">
      <selection activeCell="J36" sqref="J36"/>
    </sheetView>
  </sheetViews>
  <sheetFormatPr defaultRowHeight="13.2" x14ac:dyDescent="0.25"/>
  <cols>
    <col min="1" max="1" width="15" customWidth="1"/>
    <col min="10" max="10" width="14.77734375" customWidth="1"/>
  </cols>
  <sheetData>
    <row r="1" spans="1:48" ht="34.950000000000003" customHeight="1" thickTop="1" thickBot="1" x14ac:dyDescent="0.8">
      <c r="A1" s="379" t="s">
        <v>205</v>
      </c>
      <c r="B1" s="420"/>
      <c r="C1" s="420"/>
      <c r="D1" s="420"/>
      <c r="E1" s="420"/>
      <c r="F1" s="420"/>
      <c r="G1" s="420"/>
      <c r="H1" s="420"/>
      <c r="I1" s="421"/>
      <c r="J1" s="379" t="s">
        <v>204</v>
      </c>
      <c r="K1" s="420"/>
      <c r="L1" s="420"/>
      <c r="M1" s="420"/>
      <c r="N1" s="420"/>
      <c r="O1" s="420"/>
      <c r="P1" s="420"/>
      <c r="Q1" s="420"/>
      <c r="R1" s="421"/>
      <c r="S1" s="410" t="s">
        <v>0</v>
      </c>
      <c r="T1" s="411"/>
      <c r="U1" s="440" t="s">
        <v>20</v>
      </c>
      <c r="V1" s="441"/>
      <c r="W1" s="441"/>
      <c r="X1" s="441"/>
      <c r="Y1" s="441"/>
      <c r="Z1" s="441"/>
      <c r="AA1" s="441"/>
      <c r="AB1" s="441"/>
      <c r="AC1" s="441"/>
      <c r="AD1" s="441"/>
      <c r="AE1" s="441"/>
      <c r="AF1" s="441"/>
      <c r="AG1" s="441"/>
      <c r="AH1" s="442"/>
      <c r="AI1" s="433" t="s">
        <v>20</v>
      </c>
      <c r="AJ1" s="434"/>
      <c r="AK1" s="434"/>
      <c r="AL1" s="434"/>
      <c r="AM1" s="434"/>
      <c r="AN1" s="434"/>
      <c r="AO1" s="434"/>
      <c r="AP1" s="434"/>
      <c r="AQ1" s="434"/>
      <c r="AR1" s="434"/>
      <c r="AS1" s="434"/>
      <c r="AT1" s="434"/>
      <c r="AU1" s="434"/>
      <c r="AV1" s="435"/>
    </row>
    <row r="2" spans="1:48" ht="25.2" customHeight="1" thickBot="1" x14ac:dyDescent="0.55000000000000004">
      <c r="A2" s="422" t="s">
        <v>203</v>
      </c>
      <c r="B2" s="423"/>
      <c r="C2" s="423"/>
      <c r="D2" s="423"/>
      <c r="E2" s="423"/>
      <c r="F2" s="423"/>
      <c r="G2" s="423"/>
      <c r="H2" s="423"/>
      <c r="I2" s="432"/>
      <c r="J2" s="422" t="s">
        <v>202</v>
      </c>
      <c r="K2" s="423"/>
      <c r="L2" s="423"/>
      <c r="M2" s="423"/>
      <c r="N2" s="423"/>
      <c r="O2" s="423"/>
      <c r="P2" s="423"/>
      <c r="Q2" s="423"/>
      <c r="R2" s="423"/>
      <c r="S2" s="412" t="s">
        <v>219</v>
      </c>
      <c r="T2" s="413"/>
      <c r="U2" s="443" t="s">
        <v>24</v>
      </c>
      <c r="V2" s="437"/>
      <c r="W2" s="437"/>
      <c r="X2" s="437"/>
      <c r="Y2" s="437"/>
      <c r="Z2" s="438"/>
      <c r="AA2" s="439"/>
      <c r="AB2" s="437"/>
      <c r="AC2" s="437"/>
      <c r="AD2" s="437"/>
      <c r="AE2" s="437"/>
      <c r="AF2" s="437"/>
      <c r="AG2" s="437"/>
      <c r="AH2" s="438"/>
      <c r="AI2" s="436" t="s">
        <v>24</v>
      </c>
      <c r="AJ2" s="437"/>
      <c r="AK2" s="437"/>
      <c r="AL2" s="437"/>
      <c r="AM2" s="437"/>
      <c r="AN2" s="438"/>
      <c r="AO2" s="439"/>
      <c r="AP2" s="437"/>
      <c r="AQ2" s="437"/>
      <c r="AR2" s="437"/>
      <c r="AS2" s="437"/>
      <c r="AT2" s="437"/>
      <c r="AU2" s="437"/>
      <c r="AV2" s="438"/>
    </row>
    <row r="3" spans="1:48" ht="18" thickTop="1" x14ac:dyDescent="0.3">
      <c r="A3" s="424" t="s">
        <v>201</v>
      </c>
      <c r="B3" s="425"/>
      <c r="C3" s="425"/>
      <c r="D3" s="425"/>
      <c r="E3" s="425"/>
      <c r="F3" s="425"/>
      <c r="G3" s="425"/>
      <c r="H3" s="425"/>
      <c r="I3" s="431"/>
      <c r="J3" s="424" t="s">
        <v>201</v>
      </c>
      <c r="K3" s="425"/>
      <c r="L3" s="425"/>
      <c r="M3" s="425"/>
      <c r="N3" s="425"/>
      <c r="O3" s="425"/>
      <c r="P3" s="425"/>
      <c r="Q3" s="425"/>
      <c r="R3" s="425"/>
      <c r="S3" s="414"/>
      <c r="T3" s="415"/>
      <c r="U3" s="165"/>
      <c r="V3" s="165"/>
      <c r="W3" s="165"/>
      <c r="X3" s="165"/>
      <c r="Y3" s="165"/>
      <c r="Z3" s="165"/>
      <c r="AA3" s="165"/>
      <c r="AB3" s="165"/>
      <c r="AC3" s="165"/>
      <c r="AD3" s="165"/>
      <c r="AE3" s="165"/>
      <c r="AF3" s="165"/>
      <c r="AG3" s="165"/>
      <c r="AH3" s="164"/>
      <c r="AI3" s="166"/>
      <c r="AJ3" s="165"/>
      <c r="AK3" s="165"/>
      <c r="AL3" s="165"/>
      <c r="AM3" s="165"/>
      <c r="AN3" s="165"/>
      <c r="AO3" s="165"/>
      <c r="AP3" s="165"/>
      <c r="AQ3" s="165"/>
      <c r="AR3" s="165"/>
      <c r="AS3" s="165"/>
      <c r="AT3" s="165"/>
      <c r="AU3" s="165"/>
      <c r="AV3" s="164"/>
    </row>
    <row r="4" spans="1:48" ht="66.599999999999994" thickBot="1" x14ac:dyDescent="0.3">
      <c r="A4" s="162" t="s">
        <v>25</v>
      </c>
      <c r="B4" s="161" t="s">
        <v>5</v>
      </c>
      <c r="C4" s="219" t="s">
        <v>198</v>
      </c>
      <c r="D4" s="160" t="s">
        <v>197</v>
      </c>
      <c r="E4" s="160" t="s">
        <v>200</v>
      </c>
      <c r="F4" s="160" t="s">
        <v>209</v>
      </c>
      <c r="G4" s="160" t="s">
        <v>208</v>
      </c>
      <c r="H4" s="160" t="s">
        <v>207</v>
      </c>
      <c r="I4" s="218" t="s">
        <v>206</v>
      </c>
      <c r="J4" s="162" t="s">
        <v>25</v>
      </c>
      <c r="K4" s="161" t="s">
        <v>5</v>
      </c>
      <c r="L4" s="219" t="s">
        <v>198</v>
      </c>
      <c r="M4" s="160" t="s">
        <v>197</v>
      </c>
      <c r="N4" s="160" t="s">
        <v>200</v>
      </c>
      <c r="O4" s="160" t="s">
        <v>206</v>
      </c>
      <c r="P4" s="160" t="s">
        <v>212</v>
      </c>
      <c r="Q4" s="160" t="s">
        <v>211</v>
      </c>
      <c r="R4" s="187" t="s">
        <v>210</v>
      </c>
      <c r="S4" s="416"/>
      <c r="T4" s="417"/>
      <c r="U4" s="183"/>
      <c r="AH4" s="135"/>
      <c r="AI4" s="136"/>
      <c r="AV4" s="135"/>
    </row>
    <row r="5" spans="1:48" ht="13.8" x14ac:dyDescent="0.25">
      <c r="A5" s="157" t="str" cm="1">
        <f t="array" ref="A5:A12">_xlfn._xlws.FILTER('Class List'!A5:A100, ('Class List'!B5:B100="f") * ('Class List'!C5:C100&gt;=6) * ('Class List'!C5:C100&lt;=9), "")</f>
        <v>Student</v>
      </c>
      <c r="B5" s="108" cm="1">
        <f t="array" ref="B5:B12">_xlfn._xlws.FILTER('Class List'!C5:C100, ('Class List'!B5:B100="f") * ('Class List'!C5:C100&gt;=6) * ('Class List'!C5:C100&lt;=9), "")</f>
        <v>9</v>
      </c>
      <c r="C5" s="217">
        <v>33</v>
      </c>
      <c r="D5" s="153" t="str" cm="1">
        <f t="array" ref="D5">_xlfn.IFS(B5=6, "37.8", B5=7, "34", B5=8, "30.1", B5=9, "29", ISBLANK(B5), "0")</f>
        <v>29</v>
      </c>
      <c r="E5" s="163">
        <f t="shared" ref="E5:E25" si="0">(D5/C5)*100</f>
        <v>87.878787878787875</v>
      </c>
      <c r="F5" s="151" t="str" cm="1">
        <f t="array" ref="F5">_xlfn.IFS(E5&lt;81.5, "Beginning", E5&lt;93, "Progressing", E5&lt;109, "At Level", E5&lt;125.5, "Achieving", E5&gt;125.5, "Excelling")</f>
        <v>Progressing</v>
      </c>
      <c r="G5" s="150" t="str" cm="1">
        <f t="array" ref="G5">_xlfn.IFS(E5&lt;79.5, "Beginning", E5&lt;92.5, "Progressing", E5&lt;107, "At Level", E5&lt;122, "Achieving", E5&gt;122, "Excelling")</f>
        <v>Progressing</v>
      </c>
      <c r="H5" s="149" t="str" cm="1">
        <f t="array" ref="H5">_xlfn.IFS(E5&lt;81.5, "Beginning", E5&lt;94, "Progressing", E5&lt;108, "At Level", E5&lt;123.5, "Achieving", E5&gt;123.5, "Excelling")</f>
        <v>Progressing</v>
      </c>
      <c r="I5" s="148" t="str" cm="1">
        <f t="array" ref="I5">_xlfn.IFS(E5&lt;82, "Beginning", E5&lt;94, "Progressing", E5&lt;108, "At Level", E5&lt;125, "Achieving", E5&gt;125, "Excelling")</f>
        <v>Progressing</v>
      </c>
      <c r="J5" s="157" t="str" cm="1">
        <f t="array" ref="J5:J17">_xlfn._xlws.FILTER('Class List'!A5:A100, ('Class List'!B5:B100="f") * ('Class List'!C5:C100&gt;=9) * ('Class List'!C5:C100&lt;=12), "")</f>
        <v>Student</v>
      </c>
      <c r="K5" s="108" cm="1">
        <f t="array" ref="K5:K17">_xlfn._xlws.FILTER('Class List'!C5:C100, ('Class List'!B5:B100="f") * ('Class List'!C5:C100&gt;=9) * ('Class List'!C5:C100&lt;=12), "")</f>
        <v>10</v>
      </c>
      <c r="L5" s="217">
        <v>30</v>
      </c>
      <c r="M5" s="153" t="str" cm="1">
        <f t="array" ref="M5">_xlfn.IFS(K5=9, "28.1", K5=10, "29.25", K5=11, "27.8", K5=12, "27", ISBLANK(K5), "0")</f>
        <v>29.25</v>
      </c>
      <c r="N5" s="163">
        <f t="shared" ref="N5:N6" si="1">(M5/L5)*100</f>
        <v>97.5</v>
      </c>
      <c r="O5" s="151" t="str" cm="1">
        <f t="array" ref="O5">_xlfn.IFS(N5&lt;79, "Beginning", N5&lt;92.5, "Progressing", N5&lt;106.5, "At Level", N5&lt;119.5, "Achieving", N5&gt;119.5, "Excelling")</f>
        <v>At Level</v>
      </c>
      <c r="P5" s="150" t="str" cm="1">
        <f t="array" ref="P5">_xlfn.IFS(N5&lt;80.5, "Beginning", N5&lt;93, "Progressing", N5&lt;106.5, "At Level", N5&lt;120.5, "Achieving", N5&gt;120.5, "Excelling")</f>
        <v>At Level</v>
      </c>
      <c r="Q5" s="149" t="str" cm="1">
        <f t="array" ref="Q5">_xlfn.IFS(N5&lt;80.5, "Beginning", N5&lt;93.5, "Progressing", N5&lt;107.5, "At Level", N5&lt;123, "Achieving", N5&gt;123, "Excelling")</f>
        <v>At Level</v>
      </c>
      <c r="R5" s="148" t="str" cm="1">
        <f t="array" ref="R5">_xlfn.IFS(N5&lt;81, "Beginning", N5&lt;93.5, "Progressing", N5&lt;106.5, "At Level", N5&lt;121.5, "Achieving", N5&gt;121.5, "Excelling")</f>
        <v>At Level</v>
      </c>
      <c r="U5" s="136"/>
      <c r="AH5" s="135"/>
      <c r="AI5" s="136"/>
      <c r="AV5" s="135"/>
    </row>
    <row r="6" spans="1:48" ht="13.8" x14ac:dyDescent="0.25">
      <c r="A6" s="157" t="str">
        <v>Student</v>
      </c>
      <c r="B6" s="108">
        <v>9</v>
      </c>
      <c r="C6" s="217">
        <v>24</v>
      </c>
      <c r="D6" s="153" t="str" cm="1">
        <f t="array" ref="D6">_xlfn.IFS(B6=6, "37.8", B6=7, "34", B6=8, "30.1", B6=9, "29", ISBLANK(B6), "0")</f>
        <v>29</v>
      </c>
      <c r="E6" s="163">
        <f t="shared" si="0"/>
        <v>120.83333333333333</v>
      </c>
      <c r="F6" s="151" t="str" cm="1">
        <f t="array" ref="F6">_xlfn.IFS(E6&lt;81.5, "Beginning", E6&lt;93, "Progressing", E6&lt;109, "At Level", E6&lt;125.5, "Achieving", E6&gt;125.5, "Excelling")</f>
        <v>Achieving</v>
      </c>
      <c r="G6" s="150" t="str" cm="1">
        <f t="array" ref="G6">_xlfn.IFS(E6&lt;79.5, "Beginning", E6&lt;92.5, "Progressing", E6&lt;107, "At Level", E6&lt;122, "Achieving", E6&gt;122, "Excelling")</f>
        <v>Achieving</v>
      </c>
      <c r="H6" s="149" t="str" cm="1">
        <f t="array" ref="H6">_xlfn.IFS(E6&lt;81.5, "Beginning", E6&lt;94, "Progressing", E6&lt;108, "At Level", E6&lt;123.5, "Achieving", E6&gt;123.5, "Excelling")</f>
        <v>Achieving</v>
      </c>
      <c r="I6" s="148" t="str" cm="1">
        <f t="array" ref="I6">_xlfn.IFS(E6&lt;82, "Beginning", E6&lt;94, "Progressing", E6&lt;108, "At Level", E6&lt;125, "Achieving", E6&gt;125, "Excelling")</f>
        <v>Achieving</v>
      </c>
      <c r="J6" s="157" t="str">
        <v>Student</v>
      </c>
      <c r="K6" s="108">
        <v>10</v>
      </c>
      <c r="L6" s="217">
        <v>29.25</v>
      </c>
      <c r="M6" s="153" t="str" cm="1">
        <f t="array" ref="M6">_xlfn.IFS(K6=9, "28.1", K6=10, "29.25", K6=11, "27.8", K6=12, "27", ISBLANK(K6), "0")</f>
        <v>29.25</v>
      </c>
      <c r="N6" s="163">
        <f t="shared" si="1"/>
        <v>100</v>
      </c>
      <c r="O6" s="151" t="str" cm="1">
        <f t="array" ref="O6">_xlfn.IFS(N6&lt;79, "Beginning", N6&lt;92.5, "Progressing", N6&lt;106.5, "At Level", N6&lt;119.5, "Achieving", N6&gt;119.5, "Excelling")</f>
        <v>At Level</v>
      </c>
      <c r="P6" s="150" t="str" cm="1">
        <f t="array" ref="P6">_xlfn.IFS(N6&lt;80.5, "Beginning", N6&lt;93, "Progressing", N6&lt;106.5, "At Level", N6&lt;120.5, "Achieving", N6&gt;120.5, "Excelling")</f>
        <v>At Level</v>
      </c>
      <c r="Q6" s="149" t="str" cm="1">
        <f t="array" ref="Q6">_xlfn.IFS(N6&lt;80.5, "Beginning", N6&lt;93.5, "Progressing", N6&lt;107.5, "At Level", N6&lt;123, "Achieving", N6&gt;123, "Excelling")</f>
        <v>At Level</v>
      </c>
      <c r="R6" s="148" t="str" cm="1">
        <f t="array" ref="R6">_xlfn.IFS(N6&lt;81, "Beginning", N6&lt;93.5, "Progressing", N6&lt;106.5, "At Level", N6&lt;121.5, "Achieving", N6&gt;121.5, "Excelling")</f>
        <v>At Level</v>
      </c>
      <c r="U6" s="136"/>
      <c r="AH6" s="135"/>
      <c r="AI6" s="136"/>
      <c r="AV6" s="135"/>
    </row>
    <row r="7" spans="1:48" ht="13.8" x14ac:dyDescent="0.25">
      <c r="A7" s="157" t="str">
        <v>Student</v>
      </c>
      <c r="B7" s="108">
        <v>9</v>
      </c>
      <c r="C7" s="217">
        <v>33</v>
      </c>
      <c r="D7" s="153" t="str" cm="1">
        <f t="array" ref="D7">_xlfn.IFS(B7=6, "37.8", B7=7, "34", B7=8, "30.1", B7=9, "29", ISBLANK(B7), "0")</f>
        <v>29</v>
      </c>
      <c r="E7" s="163">
        <f t="shared" si="0"/>
        <v>87.878787878787875</v>
      </c>
      <c r="F7" s="151" t="str" cm="1">
        <f t="array" ref="F7">_xlfn.IFS(E7&lt;81.5, "Beginning", E7&lt;93, "Progressing", E7&lt;109, "At Level", E7&lt;125.5, "Achieving", E7&gt;125.5, "Excelling")</f>
        <v>Progressing</v>
      </c>
      <c r="G7" s="150" t="str" cm="1">
        <f t="array" ref="G7">_xlfn.IFS(E7&lt;79.5, "Beginning", E7&lt;92.5, "Progressing", E7&lt;107, "At Level", E7&lt;122, "Achieving", E7&gt;122, "Excelling")</f>
        <v>Progressing</v>
      </c>
      <c r="H7" s="149" t="str" cm="1">
        <f t="array" ref="H7">_xlfn.IFS(E7&lt;81.5, "Beginning", E7&lt;94, "Progressing", E7&lt;108, "At Level", E7&lt;123.5, "Achieving", E7&gt;123.5, "Excelling")</f>
        <v>Progressing</v>
      </c>
      <c r="I7" s="148" t="str" cm="1">
        <f t="array" ref="I7">_xlfn.IFS(E7&lt;82, "Beginning", E7&lt;94, "Progressing", E7&lt;108, "At Level", E7&lt;125, "Achieving", E7&gt;125, "Excelling")</f>
        <v>Progressing</v>
      </c>
      <c r="J7" s="157" t="str">
        <v>Student</v>
      </c>
      <c r="K7" s="108">
        <v>9</v>
      </c>
      <c r="L7" s="217">
        <v>33</v>
      </c>
      <c r="M7" s="153" t="str" cm="1">
        <f t="array" ref="M7">_xlfn.IFS(K7=9, "28.1", K7=10, "29.25", K7=11, "27.8", K7=12, "27", ISBLANK(K7), "0")</f>
        <v>28.1</v>
      </c>
      <c r="N7" s="163">
        <f>(M7/L7)*100</f>
        <v>85.151515151515156</v>
      </c>
      <c r="O7" s="151" t="str" cm="1">
        <f t="array" ref="O7">_xlfn.IFS(N7&lt;79, "Beginning", N7&lt;92.5, "Progressing", N7&lt;106.5, "At Level", N7&lt;119.5, "Achieving", N7&gt;119.5, "Excelling")</f>
        <v>Progressing</v>
      </c>
      <c r="P7" s="150" t="str" cm="1">
        <f t="array" ref="P7">_xlfn.IFS(N7&lt;80.5, "Beginning", N7&lt;93, "Progressing", N7&lt;106.5, "At Level", N7&lt;120.5, "Achieving", N7&gt;120.5, "Excelling")</f>
        <v>Progressing</v>
      </c>
      <c r="Q7" s="149" t="str" cm="1">
        <f t="array" ref="Q7">_xlfn.IFS(N7&lt;80.5, "Beginning", N7&lt;93.5, "Progressing", N7&lt;107.5, "At Level", N7&lt;123, "Achieving", N7&gt;123, "Excelling")</f>
        <v>Progressing</v>
      </c>
      <c r="R7" s="148" t="str" cm="1">
        <f t="array" ref="R7">_xlfn.IFS(N7&lt;81, "Beginning", N7&lt;93.5, "Progressing", N7&lt;106.5, "At Level", N7&lt;121.5, "Achieving", N7&gt;121.5, "Excelling")</f>
        <v>Progressing</v>
      </c>
      <c r="U7" s="136"/>
      <c r="AH7" s="135"/>
      <c r="AI7" s="136"/>
      <c r="AV7" s="135"/>
    </row>
    <row r="8" spans="1:48" ht="13.8" x14ac:dyDescent="0.25">
      <c r="A8" s="157" t="str">
        <v>Student</v>
      </c>
      <c r="B8" s="108">
        <v>9</v>
      </c>
      <c r="C8" s="217">
        <v>24</v>
      </c>
      <c r="D8" s="153" t="str" cm="1">
        <f t="array" ref="D8">_xlfn.IFS(B8=6, "37.8", B8=7, "34", B8=8, "30.1", B8=9, "29", ISBLANK(B8), "0")</f>
        <v>29</v>
      </c>
      <c r="E8" s="163">
        <f t="shared" si="0"/>
        <v>120.83333333333333</v>
      </c>
      <c r="F8" s="151" t="str" cm="1">
        <f t="array" ref="F8">_xlfn.IFS(E8&lt;81.5, "Beginning", E8&lt;93, "Progressing", E8&lt;109, "At Level", E8&lt;125.5, "Achieving", E8&gt;125.5, "Excelling")</f>
        <v>Achieving</v>
      </c>
      <c r="G8" s="150" t="str" cm="1">
        <f t="array" ref="G8">_xlfn.IFS(E8&lt;79.5, "Beginning", E8&lt;92.5, "Progressing", E8&lt;107, "At Level", E8&lt;122, "Achieving", E8&gt;122, "Excelling")</f>
        <v>Achieving</v>
      </c>
      <c r="H8" s="149" t="str" cm="1">
        <f t="array" ref="H8">_xlfn.IFS(E8&lt;81.5, "Beginning", E8&lt;94, "Progressing", E8&lt;108, "At Level", E8&lt;123.5, "Achieving", E8&gt;123.5, "Excelling")</f>
        <v>Achieving</v>
      </c>
      <c r="I8" s="148" t="str" cm="1">
        <f t="array" ref="I8">_xlfn.IFS(E8&lt;82, "Beginning", E8&lt;94, "Progressing", E8&lt;108, "At Level", E8&lt;125, "Achieving", E8&gt;125, "Excelling")</f>
        <v>Achieving</v>
      </c>
      <c r="J8" s="157" t="str">
        <v>Student</v>
      </c>
      <c r="K8" s="108">
        <v>9</v>
      </c>
      <c r="L8" s="217">
        <v>24</v>
      </c>
      <c r="M8" s="153" t="str" cm="1">
        <f t="array" ref="M8">_xlfn.IFS(K8=9, "28.1", K8=10, "29.25", K8=11, "27.8", K8=12, "27", ISBLANK(K8), "0")</f>
        <v>28.1</v>
      </c>
      <c r="N8" s="163">
        <f t="shared" ref="N8:N25" si="2">(M8/L8)*100</f>
        <v>117.08333333333334</v>
      </c>
      <c r="O8" s="151" t="str" cm="1">
        <f t="array" ref="O8">_xlfn.IFS(N8&lt;79, "Beginning", N8&lt;92.5, "Progressing", N8&lt;106.5, "At Level", N8&lt;119.5, "Achieving", N8&gt;119.5, "Excelling")</f>
        <v>Achieving</v>
      </c>
      <c r="P8" s="150" t="str" cm="1">
        <f t="array" ref="P8">_xlfn.IFS(N8&lt;80.5, "Beginning", N8&lt;93, "Progressing", N8&lt;106.5, "At Level", N8&lt;120.5, "Achieving", N8&gt;120.5, "Excelling")</f>
        <v>Achieving</v>
      </c>
      <c r="Q8" s="149" t="str" cm="1">
        <f t="array" ref="Q8">_xlfn.IFS(N8&lt;80.5, "Beginning", N8&lt;93.5, "Progressing", N8&lt;107.5, "At Level", N8&lt;123, "Achieving", N8&gt;123, "Excelling")</f>
        <v>Achieving</v>
      </c>
      <c r="R8" s="148" t="str" cm="1">
        <f t="array" ref="R8">_xlfn.IFS(N8&lt;81, "Beginning", N8&lt;93.5, "Progressing", N8&lt;106.5, "At Level", N8&lt;121.5, "Achieving", N8&gt;121.5, "Excelling")</f>
        <v>Achieving</v>
      </c>
      <c r="U8" s="136"/>
      <c r="AH8" s="135"/>
      <c r="AI8" s="136"/>
      <c r="AV8" s="135"/>
    </row>
    <row r="9" spans="1:48" ht="13.8" x14ac:dyDescent="0.25">
      <c r="A9" s="157" t="str">
        <v>Student</v>
      </c>
      <c r="B9" s="108">
        <v>9</v>
      </c>
      <c r="C9" s="217">
        <v>44</v>
      </c>
      <c r="D9" s="153" t="str" cm="1">
        <f t="array" ref="D9">_xlfn.IFS(B9=6, "37.8", B9=7, "34", B9=8, "30.1", B9=9, "29", ISBLANK(B9), "0")</f>
        <v>29</v>
      </c>
      <c r="E9" s="163">
        <f t="shared" si="0"/>
        <v>65.909090909090907</v>
      </c>
      <c r="F9" s="151" t="str" cm="1">
        <f t="array" ref="F9">_xlfn.IFS(E9&lt;81.5, "Beginning", E9&lt;93, "Progressing", E9&lt;109, "At Level", E9&lt;125.5, "Achieving", E9&gt;125.5, "Excelling")</f>
        <v>Beginning</v>
      </c>
      <c r="G9" s="150" t="str" cm="1">
        <f t="array" ref="G9">_xlfn.IFS(E9&lt;79.5, "Beginning", E9&lt;92.5, "Progressing", E9&lt;107, "At Level", E9&lt;122, "Achieving", E9&gt;122, "Excelling")</f>
        <v>Beginning</v>
      </c>
      <c r="H9" s="149" t="str" cm="1">
        <f t="array" ref="H9">_xlfn.IFS(E9&lt;81.5, "Beginning", E9&lt;94, "Progressing", E9&lt;108, "At Level", E9&lt;123.5, "Achieving", E9&gt;123.5, "Excelling")</f>
        <v>Beginning</v>
      </c>
      <c r="I9" s="148" t="str" cm="1">
        <f t="array" ref="I9">_xlfn.IFS(E9&lt;82, "Beginning", E9&lt;94, "Progressing", E9&lt;108, "At Level", E9&lt;125, "Achieving", E9&gt;125, "Excelling")</f>
        <v>Beginning</v>
      </c>
      <c r="J9" s="157" t="str">
        <v>Student</v>
      </c>
      <c r="K9" s="108">
        <v>9</v>
      </c>
      <c r="L9" s="217">
        <v>33</v>
      </c>
      <c r="M9" s="153" t="str" cm="1">
        <f t="array" ref="M9">_xlfn.IFS(K9=9, "28.1", K9=10, "29.25", K9=11, "27.8", K9=12, "27", ISBLANK(K9), "0")</f>
        <v>28.1</v>
      </c>
      <c r="N9" s="163">
        <f t="shared" si="2"/>
        <v>85.151515151515156</v>
      </c>
      <c r="O9" s="151" t="str" cm="1">
        <f t="array" ref="O9">_xlfn.IFS(N9&lt;79, "Beginning", N9&lt;92.5, "Progressing", N9&lt;106.5, "At Level", N9&lt;119.5, "Achieving", N9&gt;119.5, "Excelling")</f>
        <v>Progressing</v>
      </c>
      <c r="P9" s="150" t="str" cm="1">
        <f t="array" ref="P9">_xlfn.IFS(N9&lt;80.5, "Beginning", N9&lt;93, "Progressing", N9&lt;106.5, "At Level", N9&lt;120.5, "Achieving", N9&gt;120.5, "Excelling")</f>
        <v>Progressing</v>
      </c>
      <c r="Q9" s="149" t="str" cm="1">
        <f t="array" ref="Q9">_xlfn.IFS(N9&lt;80.5, "Beginning", N9&lt;93.5, "Progressing", N9&lt;107.5, "At Level", N9&lt;123, "Achieving", N9&gt;123, "Excelling")</f>
        <v>Progressing</v>
      </c>
      <c r="R9" s="148" t="str" cm="1">
        <f t="array" ref="R9">_xlfn.IFS(N9&lt;81, "Beginning", N9&lt;93.5, "Progressing", N9&lt;106.5, "At Level", N9&lt;121.5, "Achieving", N9&gt;121.5, "Excelling")</f>
        <v>Progressing</v>
      </c>
      <c r="U9" s="136"/>
      <c r="AH9" s="135"/>
      <c r="AI9" s="136"/>
      <c r="AV9" s="135"/>
    </row>
    <row r="10" spans="1:48" ht="13.8" x14ac:dyDescent="0.25">
      <c r="A10" s="157" t="str">
        <v>Student</v>
      </c>
      <c r="B10" s="108">
        <v>9</v>
      </c>
      <c r="C10" s="217">
        <v>33</v>
      </c>
      <c r="D10" s="153" t="str" cm="1">
        <f t="array" ref="D10">_xlfn.IFS(B10=6, "37.8", B10=7, "34", B10=8, "30.1", B10=9, "29", ISBLANK(B10), "0")</f>
        <v>29</v>
      </c>
      <c r="E10" s="163">
        <f t="shared" si="0"/>
        <v>87.878787878787875</v>
      </c>
      <c r="F10" s="151" t="str" cm="1">
        <f t="array" ref="F10">_xlfn.IFS(E10&lt;81.5, "Beginning", E10&lt;93, "Progressing", E10&lt;109, "At Level", E10&lt;125.5, "Achieving", E10&gt;125.5, "Excelling")</f>
        <v>Progressing</v>
      </c>
      <c r="G10" s="150" t="str" cm="1">
        <f t="array" ref="G10">_xlfn.IFS(E10&lt;79.5, "Beginning", E10&lt;92.5, "Progressing", E10&lt;107, "At Level", E10&lt;122, "Achieving", E10&gt;122, "Excelling")</f>
        <v>Progressing</v>
      </c>
      <c r="H10" s="149" t="str" cm="1">
        <f t="array" ref="H10">_xlfn.IFS(E10&lt;81.5, "Beginning", E10&lt;94, "Progressing", E10&lt;108, "At Level", E10&lt;123.5, "Achieving", E10&gt;123.5, "Excelling")</f>
        <v>Progressing</v>
      </c>
      <c r="I10" s="148" t="str" cm="1">
        <f t="array" ref="I10">_xlfn.IFS(E10&lt;82, "Beginning", E10&lt;94, "Progressing", E10&lt;108, "At Level", E10&lt;125, "Achieving", E10&gt;125, "Excelling")</f>
        <v>Progressing</v>
      </c>
      <c r="J10" s="157" t="str">
        <v>Student</v>
      </c>
      <c r="K10" s="108">
        <v>9</v>
      </c>
      <c r="L10" s="217">
        <v>24</v>
      </c>
      <c r="M10" s="153" t="str" cm="1">
        <f t="array" ref="M10">_xlfn.IFS(K10=9, "28.1", K10=10, "29.25", K10=11, "27.8", K10=12, "27", ISBLANK(K10), "0")</f>
        <v>28.1</v>
      </c>
      <c r="N10" s="163">
        <f t="shared" si="2"/>
        <v>117.08333333333334</v>
      </c>
      <c r="O10" s="151" t="str" cm="1">
        <f t="array" ref="O10">_xlfn.IFS(N10&lt;79, "Beginning", N10&lt;92.5, "Progressing", N10&lt;106.5, "At Level", N10&lt;119.5, "Achieving", N10&gt;119.5, "Excelling")</f>
        <v>Achieving</v>
      </c>
      <c r="P10" s="150" t="str" cm="1">
        <f t="array" ref="P10">_xlfn.IFS(N10&lt;80.5, "Beginning", N10&lt;93, "Progressing", N10&lt;106.5, "At Level", N10&lt;120.5, "Achieving", N10&gt;120.5, "Excelling")</f>
        <v>Achieving</v>
      </c>
      <c r="Q10" s="149" t="str" cm="1">
        <f t="array" ref="Q10">_xlfn.IFS(N10&lt;80.5, "Beginning", N10&lt;93.5, "Progressing", N10&lt;107.5, "At Level", N10&lt;123, "Achieving", N10&gt;123, "Excelling")</f>
        <v>Achieving</v>
      </c>
      <c r="R10" s="148" t="str" cm="1">
        <f t="array" ref="R10">_xlfn.IFS(N10&lt;81, "Beginning", N10&lt;93.5, "Progressing", N10&lt;106.5, "At Level", N10&lt;121.5, "Achieving", N10&gt;121.5, "Excelling")</f>
        <v>Achieving</v>
      </c>
      <c r="U10" s="136"/>
      <c r="AH10" s="135"/>
      <c r="AI10" s="136"/>
      <c r="AV10" s="135"/>
    </row>
    <row r="11" spans="1:48" ht="13.8" x14ac:dyDescent="0.25">
      <c r="A11" s="157" t="str">
        <v>Student</v>
      </c>
      <c r="B11" s="108">
        <v>9</v>
      </c>
      <c r="C11" s="217">
        <v>22</v>
      </c>
      <c r="D11" s="153" t="str" cm="1">
        <f t="array" ref="D11">_xlfn.IFS(B11=6, "37.8", B11=7, "34", B11=8, "30.1", B11=9, "29", ISBLANK(B11), "0")</f>
        <v>29</v>
      </c>
      <c r="E11" s="163">
        <f t="shared" si="0"/>
        <v>131.81818181818181</v>
      </c>
      <c r="F11" s="151" t="str" cm="1">
        <f t="array" ref="F11">_xlfn.IFS(E11&lt;81.5, "Beginning", E11&lt;93, "Progressing", E11&lt;109, "At Level", E11&lt;125.5, "Achieving", E11&gt;125.5, "Excelling")</f>
        <v>Excelling</v>
      </c>
      <c r="G11" s="150" t="str" cm="1">
        <f t="array" ref="G11">_xlfn.IFS(E11&lt;79.5, "Beginning", E11&lt;92.5, "Progressing", E11&lt;107, "At Level", E11&lt;122, "Achieving", E11&gt;122, "Excelling")</f>
        <v>Excelling</v>
      </c>
      <c r="H11" s="149" t="str" cm="1">
        <f t="array" ref="H11">_xlfn.IFS(E11&lt;81.5, "Beginning", E11&lt;94, "Progressing", E11&lt;108, "At Level", E11&lt;123.5, "Achieving", E11&gt;123.5, "Excelling")</f>
        <v>Excelling</v>
      </c>
      <c r="I11" s="148" t="str" cm="1">
        <f t="array" ref="I11">_xlfn.IFS(E11&lt;82, "Beginning", E11&lt;94, "Progressing", E11&lt;108, "At Level", E11&lt;125, "Achieving", E11&gt;125, "Excelling")</f>
        <v>Excelling</v>
      </c>
      <c r="J11" s="157" t="str">
        <v>Student</v>
      </c>
      <c r="K11" s="108">
        <v>9</v>
      </c>
      <c r="L11" s="217">
        <v>44</v>
      </c>
      <c r="M11" s="153" t="str" cm="1">
        <f t="array" ref="M11">_xlfn.IFS(K11=9, "28.1", K11=10, "29.25", K11=11, "27.8", K11=12, "27", ISBLANK(K11), "0")</f>
        <v>28.1</v>
      </c>
      <c r="N11" s="163">
        <f t="shared" si="2"/>
        <v>63.863636363636367</v>
      </c>
      <c r="O11" s="151" t="str" cm="1">
        <f t="array" ref="O11">_xlfn.IFS(N11&lt;79, "Beginning", N11&lt;92.5, "Progressing", N11&lt;106.5, "At Level", N11&lt;119.5, "Achieving", N11&gt;119.5, "Excelling")</f>
        <v>Beginning</v>
      </c>
      <c r="P11" s="150" t="str" cm="1">
        <f t="array" ref="P11">_xlfn.IFS(N11&lt;80.5, "Beginning", N11&lt;93, "Progressing", N11&lt;106.5, "At Level", N11&lt;120.5, "Achieving", N11&gt;120.5, "Excelling")</f>
        <v>Beginning</v>
      </c>
      <c r="Q11" s="149" t="str" cm="1">
        <f t="array" ref="Q11">_xlfn.IFS(N11&lt;80.5, "Beginning", N11&lt;93.5, "Progressing", N11&lt;107.5, "At Level", N11&lt;123, "Achieving", N11&gt;123, "Excelling")</f>
        <v>Beginning</v>
      </c>
      <c r="R11" s="148" t="str" cm="1">
        <f t="array" ref="R11">_xlfn.IFS(N11&lt;81, "Beginning", N11&lt;93.5, "Progressing", N11&lt;106.5, "At Level", N11&lt;121.5, "Achieving", N11&gt;121.5, "Excelling")</f>
        <v>Beginning</v>
      </c>
      <c r="U11" s="136"/>
      <c r="AH11" s="135"/>
      <c r="AI11" s="136"/>
      <c r="AV11" s="135"/>
    </row>
    <row r="12" spans="1:48" ht="13.8" x14ac:dyDescent="0.25">
      <c r="A12" s="157" t="str">
        <v>Student</v>
      </c>
      <c r="B12" s="108">
        <v>9</v>
      </c>
      <c r="C12" s="217">
        <v>12</v>
      </c>
      <c r="D12" s="153" t="str" cm="1">
        <f t="array" ref="D12">_xlfn.IFS(B12=6, "37.8", B12=7, "34", B12=8, "30.1", B12=9, "29", ISBLANK(B12), "0")</f>
        <v>29</v>
      </c>
      <c r="E12" s="163">
        <f t="shared" si="0"/>
        <v>241.66666666666666</v>
      </c>
      <c r="F12" s="151" t="str" cm="1">
        <f t="array" ref="F12">_xlfn.IFS(E12&lt;81.5, "Beginning", E12&lt;93, "Progressing", E12&lt;109, "At Level", E12&lt;125.5, "Achieving", E12&gt;125.5, "Excelling")</f>
        <v>Excelling</v>
      </c>
      <c r="G12" s="150" t="str" cm="1">
        <f t="array" ref="G12">_xlfn.IFS(E12&lt;79.5, "Beginning", E12&lt;92.5, "Progressing", E12&lt;107, "At Level", E12&lt;122, "Achieving", E12&gt;122, "Excelling")</f>
        <v>Excelling</v>
      </c>
      <c r="H12" s="149" t="str" cm="1">
        <f t="array" ref="H12">_xlfn.IFS(E12&lt;81.5, "Beginning", E12&lt;94, "Progressing", E12&lt;108, "At Level", E12&lt;123.5, "Achieving", E12&gt;123.5, "Excelling")</f>
        <v>Excelling</v>
      </c>
      <c r="I12" s="148" t="str" cm="1">
        <f t="array" ref="I12">_xlfn.IFS(E12&lt;82, "Beginning", E12&lt;94, "Progressing", E12&lt;108, "At Level", E12&lt;125, "Achieving", E12&gt;125, "Excelling")</f>
        <v>Excelling</v>
      </c>
      <c r="J12" s="157" t="str">
        <v>Student</v>
      </c>
      <c r="K12" s="108">
        <v>10</v>
      </c>
      <c r="L12" s="217">
        <v>33</v>
      </c>
      <c r="M12" s="153" t="str" cm="1">
        <f t="array" ref="M12">_xlfn.IFS(K12=9, "28.1", K12=10, "29.25", K12=11, "27.8", K12=12, "27", ISBLANK(K12), "0")</f>
        <v>29.25</v>
      </c>
      <c r="N12" s="163">
        <f t="shared" si="2"/>
        <v>88.63636363636364</v>
      </c>
      <c r="O12" s="151" t="str" cm="1">
        <f t="array" ref="O12">_xlfn.IFS(N12&lt;79, "Beginning", N12&lt;92.5, "Progressing", N12&lt;106.5, "At Level", N12&lt;119.5, "Achieving", N12&gt;119.5, "Excelling")</f>
        <v>Progressing</v>
      </c>
      <c r="P12" s="150" t="str" cm="1">
        <f t="array" ref="P12">_xlfn.IFS(N12&lt;80.5, "Beginning", N12&lt;93, "Progressing", N12&lt;106.5, "At Level", N12&lt;120.5, "Achieving", N12&gt;120.5, "Excelling")</f>
        <v>Progressing</v>
      </c>
      <c r="Q12" s="149" t="str" cm="1">
        <f t="array" ref="Q12">_xlfn.IFS(N12&lt;80.5, "Beginning", N12&lt;93.5, "Progressing", N12&lt;107.5, "At Level", N12&lt;123, "Achieving", N12&gt;123, "Excelling")</f>
        <v>Progressing</v>
      </c>
      <c r="R12" s="148" t="str" cm="1">
        <f t="array" ref="R12">_xlfn.IFS(N12&lt;81, "Beginning", N12&lt;93.5, "Progressing", N12&lt;106.5, "At Level", N12&lt;121.5, "Achieving", N12&gt;121.5, "Excelling")</f>
        <v>Progressing</v>
      </c>
      <c r="U12" s="136"/>
      <c r="AH12" s="135"/>
      <c r="AI12" s="136"/>
      <c r="AV12" s="135"/>
    </row>
    <row r="13" spans="1:48" ht="13.8" x14ac:dyDescent="0.25">
      <c r="A13" s="157"/>
      <c r="B13" s="108"/>
      <c r="C13" s="217"/>
      <c r="D13" s="153" t="str" cm="1">
        <f t="array" ref="D13">_xlfn.IFS(B13=6, "37.8", B13=7, "34", B13=8, "30.1", B13=9, "29", ISBLANK(B13), "0")</f>
        <v>0</v>
      </c>
      <c r="E13" s="163" t="e">
        <f t="shared" si="0"/>
        <v>#DIV/0!</v>
      </c>
      <c r="F13" s="151" t="e" cm="1">
        <f t="array" ref="F13">_xlfn.IFS(E13&lt;81.5, "Beginning", E13&lt;93, "Progressing", E13&lt;109, "At Level", E13&lt;125.5, "Achieving", E13&gt;125.5, "Excelling")</f>
        <v>#DIV/0!</v>
      </c>
      <c r="G13" s="150" t="e" cm="1">
        <f t="array" ref="G13">_xlfn.IFS(E13&lt;79.5, "Beginning", E13&lt;92.5, "Progressing", E13&lt;107, "At Level", E13&lt;122, "Achieving", E13&gt;122, "Excelling")</f>
        <v>#DIV/0!</v>
      </c>
      <c r="H13" s="149" t="e" cm="1">
        <f t="array" ref="H13">_xlfn.IFS(E13&lt;81.5, "Beginning", E13&lt;94, "Progressing", E13&lt;108, "At Level", E13&lt;123.5, "Achieving", E13&gt;123.5, "Excelling")</f>
        <v>#DIV/0!</v>
      </c>
      <c r="I13" s="148" t="e" cm="1">
        <f t="array" ref="I13">_xlfn.IFS(E13&lt;82, "Beginning", E13&lt;94, "Progressing", E13&lt;108, "At Level", E13&lt;125, "Achieving", E13&gt;125, "Excelling")</f>
        <v>#DIV/0!</v>
      </c>
      <c r="J13" s="157" t="str">
        <v>Student</v>
      </c>
      <c r="K13" s="108">
        <v>10</v>
      </c>
      <c r="L13" s="217">
        <v>29</v>
      </c>
      <c r="M13" s="153" t="str" cm="1">
        <f t="array" ref="M13">_xlfn.IFS(K13=9, "28.1", K13=10, "29.25", K13=11, "27.8", K13=12, "27", ISBLANK(K13), "0")</f>
        <v>29.25</v>
      </c>
      <c r="N13" s="163">
        <f t="shared" si="2"/>
        <v>100.86206896551724</v>
      </c>
      <c r="O13" s="151" t="str" cm="1">
        <f t="array" ref="O13">_xlfn.IFS(N13&lt;79, "Beginning", N13&lt;92.5, "Progressing", N13&lt;106.5, "At Level", N13&lt;119.5, "Achieving", N13&gt;119.5, "Excelling")</f>
        <v>At Level</v>
      </c>
      <c r="P13" s="150" t="str" cm="1">
        <f t="array" ref="P13">_xlfn.IFS(N13&lt;80.5, "Beginning", N13&lt;93, "Progressing", N13&lt;106.5, "At Level", N13&lt;120.5, "Achieving", N13&gt;120.5, "Excelling")</f>
        <v>At Level</v>
      </c>
      <c r="Q13" s="149" t="str" cm="1">
        <f t="array" ref="Q13">_xlfn.IFS(N13&lt;80.5, "Beginning", N13&lt;93.5, "Progressing", N13&lt;107.5, "At Level", N13&lt;123, "Achieving", N13&gt;123, "Excelling")</f>
        <v>At Level</v>
      </c>
      <c r="R13" s="148" t="str" cm="1">
        <f t="array" ref="R13">_xlfn.IFS(N13&lt;81, "Beginning", N13&lt;93.5, "Progressing", N13&lt;106.5, "At Level", N13&lt;121.5, "Achieving", N13&gt;121.5, "Excelling")</f>
        <v>At Level</v>
      </c>
      <c r="U13" s="136"/>
      <c r="AH13" s="135"/>
      <c r="AI13" s="136"/>
      <c r="AV13" s="135"/>
    </row>
    <row r="14" spans="1:48" ht="13.8" x14ac:dyDescent="0.25">
      <c r="A14" s="157"/>
      <c r="B14" s="108"/>
      <c r="C14" s="217"/>
      <c r="D14" s="153" t="str" cm="1">
        <f t="array" ref="D14">_xlfn.IFS(B14=6, "37.8", B14=7, "34", B14=8, "30.1", B14=9, "29", ISBLANK(B14), "0")</f>
        <v>0</v>
      </c>
      <c r="E14" s="163" t="e">
        <f t="shared" si="0"/>
        <v>#DIV/0!</v>
      </c>
      <c r="F14" s="151" t="e" cm="1">
        <f t="array" ref="F14">_xlfn.IFS(E14&lt;81.5, "Beginning", E14&lt;93, "Progressing", E14&lt;109, "At Level", E14&lt;125.5, "Achieving", E14&gt;125.5, "Excelling")</f>
        <v>#DIV/0!</v>
      </c>
      <c r="G14" s="150" t="e" cm="1">
        <f t="array" ref="G14">_xlfn.IFS(E14&lt;79.5, "Beginning", E14&lt;92.5, "Progressing", E14&lt;107, "At Level", E14&lt;122, "Achieving", E14&gt;122, "Excelling")</f>
        <v>#DIV/0!</v>
      </c>
      <c r="H14" s="149" t="e" cm="1">
        <f t="array" ref="H14">_xlfn.IFS(E14&lt;81.5, "Beginning", E14&lt;94, "Progressing", E14&lt;108, "At Level", E14&lt;123.5, "Achieving", E14&gt;123.5, "Excelling")</f>
        <v>#DIV/0!</v>
      </c>
      <c r="I14" s="148" t="e" cm="1">
        <f t="array" ref="I14">_xlfn.IFS(E14&lt;82, "Beginning", E14&lt;94, "Progressing", E14&lt;108, "At Level", E14&lt;125, "Achieving", E14&gt;125, "Excelling")</f>
        <v>#DIV/0!</v>
      </c>
      <c r="J14" s="157" t="str">
        <v>Student</v>
      </c>
      <c r="K14" s="108">
        <v>9</v>
      </c>
      <c r="L14" s="217">
        <v>33</v>
      </c>
      <c r="M14" s="153" t="str" cm="1">
        <f t="array" ref="M14">_xlfn.IFS(K14=9, "28.1", K14=10, "29.25", K14=11, "27.8", K14=12, "27", ISBLANK(K14), "0")</f>
        <v>28.1</v>
      </c>
      <c r="N14" s="163">
        <f t="shared" si="2"/>
        <v>85.151515151515156</v>
      </c>
      <c r="O14" s="151" t="str" cm="1">
        <f t="array" ref="O14">_xlfn.IFS(N14&lt;79, "Beginning", N14&lt;92.5, "Progressing", N14&lt;106.5, "At Level", N14&lt;119.5, "Achieving", N14&gt;119.5, "Excelling")</f>
        <v>Progressing</v>
      </c>
      <c r="P14" s="150" t="str" cm="1">
        <f t="array" ref="P14">_xlfn.IFS(N14&lt;80.5, "Beginning", N14&lt;93, "Progressing", N14&lt;106.5, "At Level", N14&lt;120.5, "Achieving", N14&gt;120.5, "Excelling")</f>
        <v>Progressing</v>
      </c>
      <c r="Q14" s="149" t="str" cm="1">
        <f t="array" ref="Q14">_xlfn.IFS(N14&lt;80.5, "Beginning", N14&lt;93.5, "Progressing", N14&lt;107.5, "At Level", N14&lt;123, "Achieving", N14&gt;123, "Excelling")</f>
        <v>Progressing</v>
      </c>
      <c r="R14" s="148" t="str" cm="1">
        <f t="array" ref="R14">_xlfn.IFS(N14&lt;81, "Beginning", N14&lt;93.5, "Progressing", N14&lt;106.5, "At Level", N14&lt;121.5, "Achieving", N14&gt;121.5, "Excelling")</f>
        <v>Progressing</v>
      </c>
      <c r="U14" s="136"/>
      <c r="AH14" s="135"/>
      <c r="AI14" s="136"/>
      <c r="AV14" s="135"/>
    </row>
    <row r="15" spans="1:48" ht="13.8" x14ac:dyDescent="0.25">
      <c r="A15" s="157"/>
      <c r="B15" s="108"/>
      <c r="C15" s="217"/>
      <c r="D15" s="153" t="str" cm="1">
        <f t="array" ref="D15">_xlfn.IFS(B15=6, "37.8", B15=7, "34", B15=8, "30.1", B15=9, "29", ISBLANK(B15), "0")</f>
        <v>0</v>
      </c>
      <c r="E15" s="163" t="e">
        <f t="shared" si="0"/>
        <v>#DIV/0!</v>
      </c>
      <c r="F15" s="151" t="e" cm="1">
        <f t="array" ref="F15">_xlfn.IFS(E15&lt;81.5, "Beginning", E15&lt;93, "Progressing", E15&lt;109, "At Level", E15&lt;125.5, "Achieving", E15&gt;125.5, "Excelling")</f>
        <v>#DIV/0!</v>
      </c>
      <c r="G15" s="150" t="e" cm="1">
        <f t="array" ref="G15">_xlfn.IFS(E15&lt;79.5, "Beginning", E15&lt;92.5, "Progressing", E15&lt;107, "At Level", E15&lt;122, "Achieving", E15&gt;122, "Excelling")</f>
        <v>#DIV/0!</v>
      </c>
      <c r="H15" s="149" t="e" cm="1">
        <f t="array" ref="H15">_xlfn.IFS(E15&lt;81.5, "Beginning", E15&lt;94, "Progressing", E15&lt;108, "At Level", E15&lt;123.5, "Achieving", E15&gt;123.5, "Excelling")</f>
        <v>#DIV/0!</v>
      </c>
      <c r="I15" s="148" t="e" cm="1">
        <f t="array" ref="I15">_xlfn.IFS(E15&lt;82, "Beginning", E15&lt;94, "Progressing", E15&lt;108, "At Level", E15&lt;125, "Achieving", E15&gt;125, "Excelling")</f>
        <v>#DIV/0!</v>
      </c>
      <c r="J15" s="157" t="str">
        <v>Student</v>
      </c>
      <c r="K15" s="108">
        <v>10</v>
      </c>
      <c r="L15" s="217">
        <v>32</v>
      </c>
      <c r="M15" s="153" t="str" cm="1">
        <f t="array" ref="M15">_xlfn.IFS(K15=9, "28.1", K15=10, "29.25", K15=11, "27.8", K15=12, "27", ISBLANK(K15), "0")</f>
        <v>29.25</v>
      </c>
      <c r="N15" s="163">
        <f t="shared" si="2"/>
        <v>91.40625</v>
      </c>
      <c r="O15" s="151" t="str" cm="1">
        <f t="array" ref="O15">_xlfn.IFS(N15&lt;79, "Beginning", N15&lt;92.5, "Progressing", N15&lt;106.5, "At Level", N15&lt;119.5, "Achieving", N15&gt;119.5, "Excelling")</f>
        <v>Progressing</v>
      </c>
      <c r="P15" s="150" t="str" cm="1">
        <f t="array" ref="P15">_xlfn.IFS(N15&lt;80.5, "Beginning", N15&lt;93, "Progressing", N15&lt;106.5, "At Level", N15&lt;120.5, "Achieving", N15&gt;120.5, "Excelling")</f>
        <v>Progressing</v>
      </c>
      <c r="Q15" s="149" t="str" cm="1">
        <f t="array" ref="Q15">_xlfn.IFS(N15&lt;80.5, "Beginning", N15&lt;93.5, "Progressing", N15&lt;107.5, "At Level", N15&lt;123, "Achieving", N15&gt;123, "Excelling")</f>
        <v>Progressing</v>
      </c>
      <c r="R15" s="148" t="str" cm="1">
        <f t="array" ref="R15">_xlfn.IFS(N15&lt;81, "Beginning", N15&lt;93.5, "Progressing", N15&lt;106.5, "At Level", N15&lt;121.5, "Achieving", N15&gt;121.5, "Excelling")</f>
        <v>Progressing</v>
      </c>
      <c r="U15" s="136"/>
      <c r="AH15" s="135"/>
      <c r="AI15" s="136"/>
      <c r="AV15" s="135"/>
    </row>
    <row r="16" spans="1:48" ht="13.8" x14ac:dyDescent="0.25">
      <c r="A16" s="157"/>
      <c r="B16" s="108"/>
      <c r="C16" s="217"/>
      <c r="D16" s="153" t="str" cm="1">
        <f t="array" ref="D16">_xlfn.IFS(B16=6, "37.8", B16=7, "34", B16=8, "30.1", B16=9, "29", ISBLANK(B16), "0")</f>
        <v>0</v>
      </c>
      <c r="E16" s="163" t="e">
        <f t="shared" si="0"/>
        <v>#DIV/0!</v>
      </c>
      <c r="F16" s="151" t="e" cm="1">
        <f t="array" ref="F16">_xlfn.IFS(E16&lt;81.5, "Beginning", E16&lt;93, "Progressing", E16&lt;109, "At Level", E16&lt;125.5, "Achieving", E16&gt;125.5, "Excelling")</f>
        <v>#DIV/0!</v>
      </c>
      <c r="G16" s="150" t="e" cm="1">
        <f t="array" ref="G16">_xlfn.IFS(E16&lt;79.5, "Beginning", E16&lt;92.5, "Progressing", E16&lt;107, "At Level", E16&lt;122, "Achieving", E16&gt;122, "Excelling")</f>
        <v>#DIV/0!</v>
      </c>
      <c r="H16" s="149" t="e" cm="1">
        <f t="array" ref="H16">_xlfn.IFS(E16&lt;81.5, "Beginning", E16&lt;94, "Progressing", E16&lt;108, "At Level", E16&lt;123.5, "Achieving", E16&gt;123.5, "Excelling")</f>
        <v>#DIV/0!</v>
      </c>
      <c r="I16" s="148" t="e" cm="1">
        <f t="array" ref="I16">_xlfn.IFS(E16&lt;82, "Beginning", E16&lt;94, "Progressing", E16&lt;108, "At Level", E16&lt;125, "Achieving", E16&gt;125, "Excelling")</f>
        <v>#DIV/0!</v>
      </c>
      <c r="J16" s="157" t="str">
        <v>Student</v>
      </c>
      <c r="K16" s="108">
        <v>9</v>
      </c>
      <c r="L16" s="217">
        <v>22</v>
      </c>
      <c r="M16" s="153" t="str" cm="1">
        <f t="array" ref="M16">_xlfn.IFS(K16=9, "28.1", K16=10, "29.25", K16=11, "27.8", K16=12, "27", ISBLANK(K16), "0")</f>
        <v>28.1</v>
      </c>
      <c r="N16" s="163">
        <f t="shared" si="2"/>
        <v>127.72727272727273</v>
      </c>
      <c r="O16" s="151" t="str" cm="1">
        <f t="array" ref="O16">_xlfn.IFS(N16&lt;79, "Beginning", N16&lt;92.5, "Progressing", N16&lt;106.5, "At Level", N16&lt;119.5, "Achieving", N16&gt;119.5, "Excelling")</f>
        <v>Excelling</v>
      </c>
      <c r="P16" s="150" t="str" cm="1">
        <f t="array" ref="P16">_xlfn.IFS(N16&lt;80.5, "Beginning", N16&lt;93, "Progressing", N16&lt;106.5, "At Level", N16&lt;120.5, "Achieving", N16&gt;120.5, "Excelling")</f>
        <v>Excelling</v>
      </c>
      <c r="Q16" s="149" t="str" cm="1">
        <f t="array" ref="Q16">_xlfn.IFS(N16&lt;80.5, "Beginning", N16&lt;93.5, "Progressing", N16&lt;107.5, "At Level", N16&lt;123, "Achieving", N16&gt;123, "Excelling")</f>
        <v>Excelling</v>
      </c>
      <c r="R16" s="148" t="str" cm="1">
        <f t="array" ref="R16">_xlfn.IFS(N16&lt;81, "Beginning", N16&lt;93.5, "Progressing", N16&lt;106.5, "At Level", N16&lt;121.5, "Achieving", N16&gt;121.5, "Excelling")</f>
        <v>Excelling</v>
      </c>
      <c r="U16" s="136"/>
      <c r="AH16" s="135"/>
      <c r="AI16" s="136"/>
      <c r="AV16" s="135"/>
    </row>
    <row r="17" spans="1:48" ht="13.8" x14ac:dyDescent="0.25">
      <c r="A17" s="157"/>
      <c r="B17" s="108"/>
      <c r="C17" s="217"/>
      <c r="D17" s="153" t="str" cm="1">
        <f t="array" ref="D17">_xlfn.IFS(B17=6, "37.8", B17=7, "34", B17=8, "30.1", B17=9, "29", ISBLANK(B17), "0")</f>
        <v>0</v>
      </c>
      <c r="E17" s="163" t="e">
        <f t="shared" si="0"/>
        <v>#DIV/0!</v>
      </c>
      <c r="F17" s="151" t="e" cm="1">
        <f t="array" ref="F17">_xlfn.IFS(E17&lt;81.5, "Beginning", E17&lt;93, "Progressing", E17&lt;109, "At Level", E17&lt;125.5, "Achieving", E17&gt;125.5, "Excelling")</f>
        <v>#DIV/0!</v>
      </c>
      <c r="G17" s="150" t="e" cm="1">
        <f t="array" ref="G17">_xlfn.IFS(E17&lt;79.5, "Beginning", E17&lt;92.5, "Progressing", E17&lt;107, "At Level", E17&lt;122, "Achieving", E17&gt;122, "Excelling")</f>
        <v>#DIV/0!</v>
      </c>
      <c r="H17" s="149" t="e" cm="1">
        <f t="array" ref="H17">_xlfn.IFS(E17&lt;81.5, "Beginning", E17&lt;94, "Progressing", E17&lt;108, "At Level", E17&lt;123.5, "Achieving", E17&gt;123.5, "Excelling")</f>
        <v>#DIV/0!</v>
      </c>
      <c r="I17" s="148" t="e" cm="1">
        <f t="array" ref="I17">_xlfn.IFS(E17&lt;82, "Beginning", E17&lt;94, "Progressing", E17&lt;108, "At Level", E17&lt;125, "Achieving", E17&gt;125, "Excelling")</f>
        <v>#DIV/0!</v>
      </c>
      <c r="J17" s="157" t="str">
        <v>Student</v>
      </c>
      <c r="K17" s="108">
        <v>9</v>
      </c>
      <c r="L17" s="217">
        <v>12</v>
      </c>
      <c r="M17" s="153" t="str" cm="1">
        <f t="array" ref="M17">_xlfn.IFS(K17=9, "28.1", K17=10, "29.25", K17=11, "27.8", K17=12, "27", ISBLANK(K17), "0")</f>
        <v>28.1</v>
      </c>
      <c r="N17" s="163">
        <f t="shared" si="2"/>
        <v>234.16666666666669</v>
      </c>
      <c r="O17" s="151" t="str" cm="1">
        <f t="array" ref="O17">_xlfn.IFS(N17&lt;79, "Beginning", N17&lt;92.5, "Progressing", N17&lt;106.5, "At Level", N17&lt;119.5, "Achieving", N17&gt;119.5, "Excelling")</f>
        <v>Excelling</v>
      </c>
      <c r="P17" s="150" t="str" cm="1">
        <f t="array" ref="P17">_xlfn.IFS(N17&lt;80.5, "Beginning", N17&lt;93, "Progressing", N17&lt;106.5, "At Level", N17&lt;120.5, "Achieving", N17&gt;120.5, "Excelling")</f>
        <v>Excelling</v>
      </c>
      <c r="Q17" s="149" t="str" cm="1">
        <f t="array" ref="Q17">_xlfn.IFS(N17&lt;80.5, "Beginning", N17&lt;93.5, "Progressing", N17&lt;107.5, "At Level", N17&lt;123, "Achieving", N17&gt;123, "Excelling")</f>
        <v>Excelling</v>
      </c>
      <c r="R17" s="148" t="str" cm="1">
        <f t="array" ref="R17">_xlfn.IFS(N17&lt;81, "Beginning", N17&lt;93.5, "Progressing", N17&lt;106.5, "At Level", N17&lt;121.5, "Achieving", N17&gt;121.5, "Excelling")</f>
        <v>Excelling</v>
      </c>
      <c r="U17" s="136"/>
      <c r="AH17" s="135"/>
      <c r="AI17" s="136"/>
      <c r="AV17" s="135"/>
    </row>
    <row r="18" spans="1:48" ht="13.8" x14ac:dyDescent="0.25">
      <c r="A18" s="157"/>
      <c r="B18" s="108"/>
      <c r="C18" s="217"/>
      <c r="D18" s="153" t="str" cm="1">
        <f t="array" ref="D18">_xlfn.IFS(B18=6, "37.8", B18=7, "34", B18=8, "30.1", B18=9, "29", ISBLANK(B18), "0")</f>
        <v>0</v>
      </c>
      <c r="E18" s="163" t="e">
        <f t="shared" si="0"/>
        <v>#DIV/0!</v>
      </c>
      <c r="F18" s="151" t="e" cm="1">
        <f t="array" ref="F18">_xlfn.IFS(E18&lt;81.5, "Beginning", E18&lt;93, "Progressing", E18&lt;109, "At Level", E18&lt;125.5, "Achieving", E18&gt;125.5, "Excelling")</f>
        <v>#DIV/0!</v>
      </c>
      <c r="G18" s="150" t="e" cm="1">
        <f t="array" ref="G18">_xlfn.IFS(E18&lt;79.5, "Beginning", E18&lt;92.5, "Progressing", E18&lt;107, "At Level", E18&lt;122, "Achieving", E18&gt;122, "Excelling")</f>
        <v>#DIV/0!</v>
      </c>
      <c r="H18" s="149" t="e" cm="1">
        <f t="array" ref="H18">_xlfn.IFS(E18&lt;81.5, "Beginning", E18&lt;94, "Progressing", E18&lt;108, "At Level", E18&lt;123.5, "Achieving", E18&gt;123.5, "Excelling")</f>
        <v>#DIV/0!</v>
      </c>
      <c r="I18" s="148" t="e" cm="1">
        <f t="array" ref="I18">_xlfn.IFS(E18&lt;82, "Beginning", E18&lt;94, "Progressing", E18&lt;108, "At Level", E18&lt;125, "Achieving", E18&gt;125, "Excelling")</f>
        <v>#DIV/0!</v>
      </c>
      <c r="J18" s="157"/>
      <c r="K18" s="108"/>
      <c r="L18" s="217"/>
      <c r="M18" s="153" t="str" cm="1">
        <f t="array" ref="M18">_xlfn.IFS(K18=9, "28.1", K18=10, "29.25", K18=11, "27.8", K18=12, "27", ISBLANK(K18), "0")</f>
        <v>0</v>
      </c>
      <c r="N18" s="163" t="e">
        <f t="shared" si="2"/>
        <v>#DIV/0!</v>
      </c>
      <c r="O18" s="151" t="e" cm="1">
        <f t="array" ref="O18">_xlfn.IFS(N18&lt;79, "Beginning", N18&lt;92.5, "Progressing", N18&lt;106.5, "At Level", N18&lt;119.5, "Achieving", N18&gt;119.5, "Excelling")</f>
        <v>#DIV/0!</v>
      </c>
      <c r="P18" s="150" t="e" cm="1">
        <f t="array" ref="P18">_xlfn.IFS(N18&lt;80.5, "Beginning", N18&lt;93, "Progressing", N18&lt;106.5, "At Level", N18&lt;120.5, "Achieving", N18&gt;120.5, "Excelling")</f>
        <v>#DIV/0!</v>
      </c>
      <c r="Q18" s="149" t="e" cm="1">
        <f t="array" ref="Q18">_xlfn.IFS(N18&lt;80.5, "Beginning", N18&lt;93.5, "Progressing", N18&lt;107.5, "At Level", N18&lt;123, "Achieving", N18&gt;123, "Excelling")</f>
        <v>#DIV/0!</v>
      </c>
      <c r="R18" s="148" t="e" cm="1">
        <f t="array" ref="R18">_xlfn.IFS(N18&lt;81, "Beginning", N18&lt;93.5, "Progressing", N18&lt;106.5, "At Level", N18&lt;121.5, "Achieving", N18&gt;121.5, "Excelling")</f>
        <v>#DIV/0!</v>
      </c>
      <c r="U18" s="136"/>
      <c r="AH18" s="135"/>
      <c r="AI18" s="136"/>
      <c r="AV18" s="135"/>
    </row>
    <row r="19" spans="1:48" ht="13.8" x14ac:dyDescent="0.25">
      <c r="A19" s="157"/>
      <c r="B19" s="108"/>
      <c r="C19" s="217"/>
      <c r="D19" s="153" t="str" cm="1">
        <f t="array" ref="D19">_xlfn.IFS(B19=6, "37.8", B19=7, "34", B19=8, "30.1", B19=9, "29", ISBLANK(B19), "0")</f>
        <v>0</v>
      </c>
      <c r="E19" s="163" t="e">
        <f t="shared" si="0"/>
        <v>#DIV/0!</v>
      </c>
      <c r="F19" s="151" t="e" cm="1">
        <f t="array" ref="F19">_xlfn.IFS(E19&lt;81.5, "Beginning", E19&lt;93, "Progressing", E19&lt;109, "At Level", E19&lt;125.5, "Achieving", E19&gt;125.5, "Excelling")</f>
        <v>#DIV/0!</v>
      </c>
      <c r="G19" s="150" t="e" cm="1">
        <f t="array" ref="G19">_xlfn.IFS(E19&lt;79.5, "Beginning", E19&lt;92.5, "Progressing", E19&lt;107, "At Level", E19&lt;122, "Achieving", E19&gt;122, "Excelling")</f>
        <v>#DIV/0!</v>
      </c>
      <c r="H19" s="149" t="e" cm="1">
        <f t="array" ref="H19">_xlfn.IFS(E19&lt;81.5, "Beginning", E19&lt;94, "Progressing", E19&lt;108, "At Level", E19&lt;123.5, "Achieving", E19&gt;123.5, "Excelling")</f>
        <v>#DIV/0!</v>
      </c>
      <c r="I19" s="148" t="e" cm="1">
        <f t="array" ref="I19">_xlfn.IFS(E19&lt;82, "Beginning", E19&lt;94, "Progressing", E19&lt;108, "At Level", E19&lt;125, "Achieving", E19&gt;125, "Excelling")</f>
        <v>#DIV/0!</v>
      </c>
      <c r="J19" s="157"/>
      <c r="K19" s="108"/>
      <c r="L19" s="217"/>
      <c r="M19" s="153" t="str" cm="1">
        <f t="array" ref="M19">_xlfn.IFS(K19=9, "28.1", K19=10, "29.25", K19=11, "27.8", K19=12, "27", ISBLANK(K19), "0")</f>
        <v>0</v>
      </c>
      <c r="N19" s="163" t="e">
        <f t="shared" si="2"/>
        <v>#DIV/0!</v>
      </c>
      <c r="O19" s="151" t="e" cm="1">
        <f t="array" ref="O19">_xlfn.IFS(N19&lt;79, "Beginning", N19&lt;92.5, "Progressing", N19&lt;106.5, "At Level", N19&lt;119.5, "Achieving", N19&gt;119.5, "Excelling")</f>
        <v>#DIV/0!</v>
      </c>
      <c r="P19" s="150" t="e" cm="1">
        <f t="array" ref="P19">_xlfn.IFS(N19&lt;80.5, "Beginning", N19&lt;93, "Progressing", N19&lt;106.5, "At Level", N19&lt;120.5, "Achieving", N19&gt;120.5, "Excelling")</f>
        <v>#DIV/0!</v>
      </c>
      <c r="Q19" s="149" t="e" cm="1">
        <f t="array" ref="Q19">_xlfn.IFS(N19&lt;80.5, "Beginning", N19&lt;93.5, "Progressing", N19&lt;107.5, "At Level", N19&lt;123, "Achieving", N19&gt;123, "Excelling")</f>
        <v>#DIV/0!</v>
      </c>
      <c r="R19" s="148" t="e" cm="1">
        <f t="array" ref="R19">_xlfn.IFS(N19&lt;81, "Beginning", N19&lt;93.5, "Progressing", N19&lt;106.5, "At Level", N19&lt;121.5, "Achieving", N19&gt;121.5, "Excelling")</f>
        <v>#DIV/0!</v>
      </c>
      <c r="U19" s="136"/>
      <c r="AH19" s="135"/>
      <c r="AI19" s="136"/>
      <c r="AV19" s="135"/>
    </row>
    <row r="20" spans="1:48" ht="13.8" x14ac:dyDescent="0.25">
      <c r="A20" s="157"/>
      <c r="B20" s="108"/>
      <c r="C20" s="217"/>
      <c r="D20" s="153" t="str" cm="1">
        <f t="array" ref="D20">_xlfn.IFS(B20=6, "37.8", B20=7, "34", B20=8, "30.1", B20=9, "29", ISBLANK(B20), "0")</f>
        <v>0</v>
      </c>
      <c r="E20" s="163" t="e">
        <f t="shared" si="0"/>
        <v>#DIV/0!</v>
      </c>
      <c r="F20" s="151" t="e" cm="1">
        <f t="array" ref="F20">_xlfn.IFS(E20&lt;81.5, "Beginning", E20&lt;93, "Progressing", E20&lt;109, "At Level", E20&lt;125.5, "Achieving", E20&gt;125.5, "Excelling")</f>
        <v>#DIV/0!</v>
      </c>
      <c r="G20" s="150" t="e" cm="1">
        <f t="array" ref="G20">_xlfn.IFS(E20&lt;79.5, "Beginning", E20&lt;92.5, "Progressing", E20&lt;107, "At Level", E20&lt;122, "Achieving", E20&gt;122, "Excelling")</f>
        <v>#DIV/0!</v>
      </c>
      <c r="H20" s="149" t="e" cm="1">
        <f t="array" ref="H20">_xlfn.IFS(E20&lt;81.5, "Beginning", E20&lt;94, "Progressing", E20&lt;108, "At Level", E20&lt;123.5, "Achieving", E20&gt;123.5, "Excelling")</f>
        <v>#DIV/0!</v>
      </c>
      <c r="I20" s="148" t="e" cm="1">
        <f t="array" ref="I20">_xlfn.IFS(E20&lt;82, "Beginning", E20&lt;94, "Progressing", E20&lt;108, "At Level", E20&lt;125, "Achieving", E20&gt;125, "Excelling")</f>
        <v>#DIV/0!</v>
      </c>
      <c r="J20" s="157"/>
      <c r="K20" s="108"/>
      <c r="L20" s="217"/>
      <c r="M20" s="153" t="str" cm="1">
        <f t="array" ref="M20">_xlfn.IFS(K20=9, "28.1", K20=10, "29.25", K20=11, "27.8", K20=12, "27", ISBLANK(K20), "0")</f>
        <v>0</v>
      </c>
      <c r="N20" s="163" t="e">
        <f t="shared" si="2"/>
        <v>#DIV/0!</v>
      </c>
      <c r="O20" s="151" t="e" cm="1">
        <f t="array" ref="O20">_xlfn.IFS(N20&lt;79, "Beginning", N20&lt;92.5, "Progressing", N20&lt;106.5, "At Level", N20&lt;119.5, "Achieving", N20&gt;119.5, "Excelling")</f>
        <v>#DIV/0!</v>
      </c>
      <c r="P20" s="150" t="e" cm="1">
        <f t="array" ref="P20">_xlfn.IFS(N20&lt;80.5, "Beginning", N20&lt;93, "Progressing", N20&lt;106.5, "At Level", N20&lt;120.5, "Achieving", N20&gt;120.5, "Excelling")</f>
        <v>#DIV/0!</v>
      </c>
      <c r="Q20" s="149" t="e" cm="1">
        <f t="array" ref="Q20">_xlfn.IFS(N20&lt;80.5, "Beginning", N20&lt;93.5, "Progressing", N20&lt;107.5, "At Level", N20&lt;123, "Achieving", N20&gt;123, "Excelling")</f>
        <v>#DIV/0!</v>
      </c>
      <c r="R20" s="148" t="e" cm="1">
        <f t="array" ref="R20">_xlfn.IFS(N20&lt;81, "Beginning", N20&lt;93.5, "Progressing", N20&lt;106.5, "At Level", N20&lt;121.5, "Achieving", N20&gt;121.5, "Excelling")</f>
        <v>#DIV/0!</v>
      </c>
      <c r="U20" s="136"/>
      <c r="AH20" s="135"/>
      <c r="AI20" s="136"/>
      <c r="AV20" s="135"/>
    </row>
    <row r="21" spans="1:48" ht="13.8" x14ac:dyDescent="0.25">
      <c r="A21" s="157"/>
      <c r="B21" s="108"/>
      <c r="C21" s="217"/>
      <c r="D21" s="153" t="str" cm="1">
        <f t="array" ref="D21">_xlfn.IFS(B21=6, "37.8", B21=7, "34", B21=8, "30.1", B21=9, "29", ISBLANK(B21), "0")</f>
        <v>0</v>
      </c>
      <c r="E21" s="163" t="e">
        <f t="shared" si="0"/>
        <v>#DIV/0!</v>
      </c>
      <c r="F21" s="151" t="e" cm="1">
        <f t="array" ref="F21">_xlfn.IFS(E21&lt;81.5, "Beginning", E21&lt;93, "Progressing", E21&lt;109, "At Level", E21&lt;125.5, "Achieving", E21&gt;125.5, "Excelling")</f>
        <v>#DIV/0!</v>
      </c>
      <c r="G21" s="150" t="e" cm="1">
        <f t="array" ref="G21">_xlfn.IFS(E21&lt;79.5, "Beginning", E21&lt;92.5, "Progressing", E21&lt;107, "At Level", E21&lt;122, "Achieving", E21&gt;122, "Excelling")</f>
        <v>#DIV/0!</v>
      </c>
      <c r="H21" s="149" t="e" cm="1">
        <f t="array" ref="H21">_xlfn.IFS(E21&lt;81.5, "Beginning", E21&lt;94, "Progressing", E21&lt;108, "At Level", E21&lt;123.5, "Achieving", E21&gt;123.5, "Excelling")</f>
        <v>#DIV/0!</v>
      </c>
      <c r="I21" s="148" t="e" cm="1">
        <f t="array" ref="I21">_xlfn.IFS(E21&lt;82, "Beginning", E21&lt;94, "Progressing", E21&lt;108, "At Level", E21&lt;125, "Achieving", E21&gt;125, "Excelling")</f>
        <v>#DIV/0!</v>
      </c>
      <c r="J21" s="157"/>
      <c r="K21" s="108"/>
      <c r="L21" s="217"/>
      <c r="M21" s="153" t="str" cm="1">
        <f t="array" ref="M21">_xlfn.IFS(K21=9, "28.1", K21=10, "29.25", K21=11, "27.8", K21=12, "27", ISBLANK(K21), "0")</f>
        <v>0</v>
      </c>
      <c r="N21" s="163" t="e">
        <f t="shared" si="2"/>
        <v>#DIV/0!</v>
      </c>
      <c r="O21" s="151" t="e" cm="1">
        <f t="array" ref="O21">_xlfn.IFS(N21&lt;79, "Beginning", N21&lt;92.5, "Progressing", N21&lt;106.5, "At Level", N21&lt;119.5, "Achieving", N21&gt;119.5, "Excelling")</f>
        <v>#DIV/0!</v>
      </c>
      <c r="P21" s="150" t="e" cm="1">
        <f t="array" ref="P21">_xlfn.IFS(N21&lt;80.5, "Beginning", N21&lt;93, "Progressing", N21&lt;106.5, "At Level", N21&lt;120.5, "Achieving", N21&gt;120.5, "Excelling")</f>
        <v>#DIV/0!</v>
      </c>
      <c r="Q21" s="149" t="e" cm="1">
        <f t="array" ref="Q21">_xlfn.IFS(N21&lt;80.5, "Beginning", N21&lt;93.5, "Progressing", N21&lt;107.5, "At Level", N21&lt;123, "Achieving", N21&gt;123, "Excelling")</f>
        <v>#DIV/0!</v>
      </c>
      <c r="R21" s="148" t="e" cm="1">
        <f t="array" ref="R21">_xlfn.IFS(N21&lt;81, "Beginning", N21&lt;93.5, "Progressing", N21&lt;106.5, "At Level", N21&lt;121.5, "Achieving", N21&gt;121.5, "Excelling")</f>
        <v>#DIV/0!</v>
      </c>
      <c r="U21" s="136"/>
      <c r="AH21" s="135"/>
      <c r="AI21" s="136"/>
      <c r="AV21" s="135"/>
    </row>
    <row r="22" spans="1:48" ht="13.8" x14ac:dyDescent="0.25">
      <c r="A22" s="157"/>
      <c r="B22" s="108"/>
      <c r="C22" s="217"/>
      <c r="D22" s="153" t="str" cm="1">
        <f t="array" ref="D22">_xlfn.IFS(B22=6, "37.8", B22=7, "34", B22=8, "30.1", B22=9, "29", ISBLANK(B22), "0")</f>
        <v>0</v>
      </c>
      <c r="E22" s="163" t="e">
        <f t="shared" si="0"/>
        <v>#DIV/0!</v>
      </c>
      <c r="F22" s="151" t="e" cm="1">
        <f t="array" ref="F22">_xlfn.IFS(E22&lt;81.5, "Beginning", E22&lt;93, "Progressing", E22&lt;109, "At Level", E22&lt;125.5, "Achieving", E22&gt;125.5, "Excelling")</f>
        <v>#DIV/0!</v>
      </c>
      <c r="G22" s="150" t="e" cm="1">
        <f t="array" ref="G22">_xlfn.IFS(E22&lt;79.5, "Beginning", E22&lt;92.5, "Progressing", E22&lt;107, "At Level", E22&lt;122, "Achieving", E22&gt;122, "Excelling")</f>
        <v>#DIV/0!</v>
      </c>
      <c r="H22" s="149" t="e" cm="1">
        <f t="array" ref="H22">_xlfn.IFS(E22&lt;81.5, "Beginning", E22&lt;94, "Progressing", E22&lt;108, "At Level", E22&lt;123.5, "Achieving", E22&gt;123.5, "Excelling")</f>
        <v>#DIV/0!</v>
      </c>
      <c r="I22" s="148" t="e" cm="1">
        <f t="array" ref="I22">_xlfn.IFS(E22&lt;82, "Beginning", E22&lt;94, "Progressing", E22&lt;108, "At Level", E22&lt;125, "Achieving", E22&gt;125, "Excelling")</f>
        <v>#DIV/0!</v>
      </c>
      <c r="J22" s="157"/>
      <c r="K22" s="108"/>
      <c r="L22" s="217"/>
      <c r="M22" s="153" t="str" cm="1">
        <f t="array" ref="M22">_xlfn.IFS(K22=9, "28.1", K22=10, "29.25", K22=11, "27.8", K22=12, "27", ISBLANK(K22), "0")</f>
        <v>0</v>
      </c>
      <c r="N22" s="163" t="e">
        <f t="shared" si="2"/>
        <v>#DIV/0!</v>
      </c>
      <c r="O22" s="151" t="e" cm="1">
        <f t="array" ref="O22">_xlfn.IFS(N22&lt;79, "Beginning", N22&lt;92.5, "Progressing", N22&lt;106.5, "At Level", N22&lt;119.5, "Achieving", N22&gt;119.5, "Excelling")</f>
        <v>#DIV/0!</v>
      </c>
      <c r="P22" s="150" t="e" cm="1">
        <f t="array" ref="P22">_xlfn.IFS(N22&lt;80.5, "Beginning", N22&lt;93, "Progressing", N22&lt;106.5, "At Level", N22&lt;120.5, "Achieving", N22&gt;120.5, "Excelling")</f>
        <v>#DIV/0!</v>
      </c>
      <c r="Q22" s="149" t="e" cm="1">
        <f t="array" ref="Q22">_xlfn.IFS(N22&lt;80.5, "Beginning", N22&lt;93.5, "Progressing", N22&lt;107.5, "At Level", N22&lt;123, "Achieving", N22&gt;123, "Excelling")</f>
        <v>#DIV/0!</v>
      </c>
      <c r="R22" s="148" t="e" cm="1">
        <f t="array" ref="R22">_xlfn.IFS(N22&lt;81, "Beginning", N22&lt;93.5, "Progressing", N22&lt;106.5, "At Level", N22&lt;121.5, "Achieving", N22&gt;121.5, "Excelling")</f>
        <v>#DIV/0!</v>
      </c>
      <c r="U22" s="136"/>
      <c r="AH22" s="135"/>
      <c r="AI22" s="136"/>
      <c r="AV22" s="135"/>
    </row>
    <row r="23" spans="1:48" ht="13.8" x14ac:dyDescent="0.25">
      <c r="A23" s="157"/>
      <c r="B23" s="108"/>
      <c r="C23" s="217"/>
      <c r="D23" s="153" t="str" cm="1">
        <f t="array" ref="D23">_xlfn.IFS(B23=6, "37.8", B23=7, "34", B23=8, "30.1", B23=9, "29", ISBLANK(B23), "0")</f>
        <v>0</v>
      </c>
      <c r="E23" s="163" t="e">
        <f t="shared" si="0"/>
        <v>#DIV/0!</v>
      </c>
      <c r="F23" s="151" t="e" cm="1">
        <f t="array" ref="F23">_xlfn.IFS(E23&lt;81.5, "Beginning", E23&lt;93, "Progressing", E23&lt;109, "At Level", E23&lt;125.5, "Achieving", E23&gt;125.5, "Excelling")</f>
        <v>#DIV/0!</v>
      </c>
      <c r="G23" s="150" t="e" cm="1">
        <f t="array" ref="G23">_xlfn.IFS(E23&lt;79.5, "Beginning", E23&lt;92.5, "Progressing", E23&lt;107, "At Level", E23&lt;122, "Achieving", E23&gt;122, "Excelling")</f>
        <v>#DIV/0!</v>
      </c>
      <c r="H23" s="149" t="e" cm="1">
        <f t="array" ref="H23">_xlfn.IFS(E23&lt;81.5, "Beginning", E23&lt;94, "Progressing", E23&lt;108, "At Level", E23&lt;123.5, "Achieving", E23&gt;123.5, "Excelling")</f>
        <v>#DIV/0!</v>
      </c>
      <c r="I23" s="148" t="e" cm="1">
        <f t="array" ref="I23">_xlfn.IFS(E23&lt;82, "Beginning", E23&lt;94, "Progressing", E23&lt;108, "At Level", E23&lt;125, "Achieving", E23&gt;125, "Excelling")</f>
        <v>#DIV/0!</v>
      </c>
      <c r="J23" s="157"/>
      <c r="K23" s="108"/>
      <c r="L23" s="217"/>
      <c r="M23" s="153" t="str" cm="1">
        <f t="array" ref="M23">_xlfn.IFS(K23=9, "28.1", K23=10, "29.25", K23=11, "27.8", K23=12, "27", ISBLANK(K23), "0")</f>
        <v>0</v>
      </c>
      <c r="N23" s="163" t="e">
        <f t="shared" si="2"/>
        <v>#DIV/0!</v>
      </c>
      <c r="O23" s="151" t="e" cm="1">
        <f t="array" ref="O23">_xlfn.IFS(N23&lt;79, "Beginning", N23&lt;92.5, "Progressing", N23&lt;106.5, "At Level", N23&lt;119.5, "Achieving", N23&gt;119.5, "Excelling")</f>
        <v>#DIV/0!</v>
      </c>
      <c r="P23" s="150" t="e" cm="1">
        <f t="array" ref="P23">_xlfn.IFS(N23&lt;80.5, "Beginning", N23&lt;93, "Progressing", N23&lt;106.5, "At Level", N23&lt;120.5, "Achieving", N23&gt;120.5, "Excelling")</f>
        <v>#DIV/0!</v>
      </c>
      <c r="Q23" s="149" t="e" cm="1">
        <f t="array" ref="Q23">_xlfn.IFS(N23&lt;80.5, "Beginning", N23&lt;93.5, "Progressing", N23&lt;107.5, "At Level", N23&lt;123, "Achieving", N23&gt;123, "Excelling")</f>
        <v>#DIV/0!</v>
      </c>
      <c r="R23" s="148" t="e" cm="1">
        <f t="array" ref="R23">_xlfn.IFS(N23&lt;81, "Beginning", N23&lt;93.5, "Progressing", N23&lt;106.5, "At Level", N23&lt;121.5, "Achieving", N23&gt;121.5, "Excelling")</f>
        <v>#DIV/0!</v>
      </c>
      <c r="U23" s="136"/>
      <c r="AH23" s="135"/>
      <c r="AI23" s="136"/>
      <c r="AV23" s="135"/>
    </row>
    <row r="24" spans="1:48" ht="13.8" x14ac:dyDescent="0.25">
      <c r="A24" s="157"/>
      <c r="B24" s="108"/>
      <c r="C24" s="217"/>
      <c r="D24" s="153" t="str" cm="1">
        <f t="array" ref="D24">_xlfn.IFS(B24=6, "37.8", B24=7, "34", B24=8, "30.1", B24=9, "29", ISBLANK(B24), "0")</f>
        <v>0</v>
      </c>
      <c r="E24" s="163" t="e">
        <f t="shared" si="0"/>
        <v>#DIV/0!</v>
      </c>
      <c r="F24" s="151" t="e" cm="1">
        <f t="array" ref="F24">_xlfn.IFS(E24&lt;81.5, "Beginning", E24&lt;93, "Progressing", E24&lt;109, "At Level", E24&lt;125.5, "Achieving", E24&gt;125.5, "Excelling")</f>
        <v>#DIV/0!</v>
      </c>
      <c r="G24" s="150" t="e" cm="1">
        <f t="array" ref="G24">_xlfn.IFS(E24&lt;79.5, "Beginning", E24&lt;92.5, "Progressing", E24&lt;107, "At Level", E24&lt;122, "Achieving", E24&gt;122, "Excelling")</f>
        <v>#DIV/0!</v>
      </c>
      <c r="H24" s="149" t="e" cm="1">
        <f t="array" ref="H24">_xlfn.IFS(E24&lt;81.5, "Beginning", E24&lt;94, "Progressing", E24&lt;108, "At Level", E24&lt;123.5, "Achieving", E24&gt;123.5, "Excelling")</f>
        <v>#DIV/0!</v>
      </c>
      <c r="I24" s="148" t="e" cm="1">
        <f t="array" ref="I24">_xlfn.IFS(E24&lt;82, "Beginning", E24&lt;94, "Progressing", E24&lt;108, "At Level", E24&lt;125, "Achieving", E24&gt;125, "Excelling")</f>
        <v>#DIV/0!</v>
      </c>
      <c r="J24" s="157"/>
      <c r="K24" s="108"/>
      <c r="L24" s="217"/>
      <c r="M24" s="153" t="str" cm="1">
        <f t="array" ref="M24">_xlfn.IFS(K24=9, "28.1", K24=10, "29.25", K24=11, "27.8", K24=12, "27", ISBLANK(K24), "0")</f>
        <v>0</v>
      </c>
      <c r="N24" s="163" t="e">
        <f t="shared" si="2"/>
        <v>#DIV/0!</v>
      </c>
      <c r="O24" s="151" t="e" cm="1">
        <f t="array" ref="O24">_xlfn.IFS(N24&lt;79, "Beginning", N24&lt;92.5, "Progressing", N24&lt;106.5, "At Level", N24&lt;119.5, "Achieving", N24&gt;119.5, "Excelling")</f>
        <v>#DIV/0!</v>
      </c>
      <c r="P24" s="150" t="e" cm="1">
        <f t="array" ref="P24">_xlfn.IFS(N24&lt;80.5, "Beginning", N24&lt;93, "Progressing", N24&lt;106.5, "At Level", N24&lt;120.5, "Achieving", N24&gt;120.5, "Excelling")</f>
        <v>#DIV/0!</v>
      </c>
      <c r="Q24" s="149" t="e" cm="1">
        <f t="array" ref="Q24">_xlfn.IFS(N24&lt;80.5, "Beginning", N24&lt;93.5, "Progressing", N24&lt;107.5, "At Level", N24&lt;123, "Achieving", N24&gt;123, "Excelling")</f>
        <v>#DIV/0!</v>
      </c>
      <c r="R24" s="148" t="e" cm="1">
        <f t="array" ref="R24">_xlfn.IFS(N24&lt;81, "Beginning", N24&lt;93.5, "Progressing", N24&lt;106.5, "At Level", N24&lt;121.5, "Achieving", N24&gt;121.5, "Excelling")</f>
        <v>#DIV/0!</v>
      </c>
      <c r="U24" s="136"/>
      <c r="AH24" s="135"/>
      <c r="AI24" s="136"/>
      <c r="AV24" s="135"/>
    </row>
    <row r="25" spans="1:48" ht="13.8" x14ac:dyDescent="0.25">
      <c r="A25" s="157"/>
      <c r="B25" s="108"/>
      <c r="C25" s="217"/>
      <c r="D25" s="153" t="str" cm="1">
        <f t="array" ref="D25">_xlfn.IFS(B25=6, "37.8", B25=7, "34", B25=8, "30.1", B25=9, "29", ISBLANK(B25), "0")</f>
        <v>0</v>
      </c>
      <c r="E25" s="163" t="e">
        <f t="shared" si="0"/>
        <v>#DIV/0!</v>
      </c>
      <c r="F25" s="151" t="e" cm="1">
        <f t="array" ref="F25">_xlfn.IFS(E25&lt;81.5, "Beginning", E25&lt;93, "Progressing", E25&lt;109, "At Level", E25&lt;125.5, "Achieving", E25&gt;125.5, "Excelling")</f>
        <v>#DIV/0!</v>
      </c>
      <c r="G25" s="150" t="e" cm="1">
        <f t="array" ref="G25">_xlfn.IFS(E25&lt;79.5, "Beginning", E25&lt;92.5, "Progressing", E25&lt;107, "At Level", E25&lt;122, "Achieving", E25&gt;122, "Excelling")</f>
        <v>#DIV/0!</v>
      </c>
      <c r="H25" s="149" t="e" cm="1">
        <f t="array" ref="H25">_xlfn.IFS(E25&lt;81.5, "Beginning", E25&lt;94, "Progressing", E25&lt;108, "At Level", E25&lt;123.5, "Achieving", E25&gt;123.5, "Excelling")</f>
        <v>#DIV/0!</v>
      </c>
      <c r="I25" s="148" t="e" cm="1">
        <f t="array" ref="I25">_xlfn.IFS(E25&lt;82, "Beginning", E25&lt;94, "Progressing", E25&lt;108, "At Level", E25&lt;125, "Achieving", E25&gt;125, "Excelling")</f>
        <v>#DIV/0!</v>
      </c>
      <c r="J25" s="157"/>
      <c r="K25" s="108"/>
      <c r="L25" s="217"/>
      <c r="M25" s="153" t="str" cm="1">
        <f t="array" ref="M25">_xlfn.IFS(K25=9, "28.1", K25=10, "29.25", K25=11, "27.8", K25=12, "27", ISBLANK(K25), "0")</f>
        <v>0</v>
      </c>
      <c r="N25" s="163" t="e">
        <f t="shared" si="2"/>
        <v>#DIV/0!</v>
      </c>
      <c r="O25" s="151" t="e" cm="1">
        <f t="array" ref="O25">_xlfn.IFS(N25&lt;79, "Beginning", N25&lt;92.5, "Progressing", N25&lt;106.5, "At Level", N25&lt;119.5, "Achieving", N25&gt;119.5, "Excelling")</f>
        <v>#DIV/0!</v>
      </c>
      <c r="P25" s="150" t="e" cm="1">
        <f t="array" ref="P25">_xlfn.IFS(N25&lt;80.5, "Beginning", N25&lt;93, "Progressing", N25&lt;106.5, "At Level", N25&lt;120.5, "Achieving", N25&gt;120.5, "Excelling")</f>
        <v>#DIV/0!</v>
      </c>
      <c r="Q25" s="149" t="e" cm="1">
        <f t="array" ref="Q25">_xlfn.IFS(N25&lt;80.5, "Beginning", N25&lt;93.5, "Progressing", N25&lt;107.5, "At Level", N25&lt;123, "Achieving", N25&gt;123, "Excelling")</f>
        <v>#DIV/0!</v>
      </c>
      <c r="R25" s="148" t="e" cm="1">
        <f t="array" ref="R25">_xlfn.IFS(N25&lt;81, "Beginning", N25&lt;93.5, "Progressing", N25&lt;106.5, "At Level", N25&lt;121.5, "Achieving", N25&gt;121.5, "Excelling")</f>
        <v>#DIV/0!</v>
      </c>
      <c r="U25" s="136"/>
      <c r="AH25" s="135"/>
      <c r="AI25" s="136"/>
      <c r="AV25" s="135"/>
    </row>
    <row r="26" spans="1:48" ht="17.399999999999999" x14ac:dyDescent="0.3">
      <c r="A26" s="426" t="s">
        <v>199</v>
      </c>
      <c r="B26" s="427"/>
      <c r="C26" s="427"/>
      <c r="D26" s="427"/>
      <c r="E26" s="427"/>
      <c r="F26" s="427"/>
      <c r="G26" s="427"/>
      <c r="H26" s="427"/>
      <c r="I26" s="428"/>
      <c r="J26" s="426" t="s">
        <v>199</v>
      </c>
      <c r="K26" s="427"/>
      <c r="L26" s="427"/>
      <c r="M26" s="427"/>
      <c r="N26" s="427"/>
      <c r="O26" s="427"/>
      <c r="P26" s="427"/>
      <c r="Q26" s="427"/>
      <c r="R26" s="428"/>
      <c r="U26" s="136"/>
      <c r="AH26" s="135"/>
      <c r="AI26" s="136"/>
      <c r="AV26" s="135"/>
    </row>
    <row r="27" spans="1:48" ht="66" x14ac:dyDescent="0.25">
      <c r="A27" s="162" t="s">
        <v>25</v>
      </c>
      <c r="B27" s="161" t="s">
        <v>5</v>
      </c>
      <c r="C27" s="219" t="s">
        <v>198</v>
      </c>
      <c r="D27" s="160" t="s">
        <v>197</v>
      </c>
      <c r="E27" s="160" t="s">
        <v>196</v>
      </c>
      <c r="F27" s="160" t="s">
        <v>209</v>
      </c>
      <c r="G27" s="160" t="s">
        <v>208</v>
      </c>
      <c r="H27" s="160" t="s">
        <v>207</v>
      </c>
      <c r="I27" s="159" t="s">
        <v>206</v>
      </c>
      <c r="J27" s="162" t="s">
        <v>25</v>
      </c>
      <c r="K27" s="161" t="s">
        <v>5</v>
      </c>
      <c r="L27" s="219" t="s">
        <v>198</v>
      </c>
      <c r="M27" s="160" t="s">
        <v>197</v>
      </c>
      <c r="N27" s="160" t="s">
        <v>196</v>
      </c>
      <c r="O27" s="160" t="s">
        <v>206</v>
      </c>
      <c r="P27" s="160" t="s">
        <v>212</v>
      </c>
      <c r="Q27" s="160" t="s">
        <v>211</v>
      </c>
      <c r="R27" s="159" t="s">
        <v>210</v>
      </c>
      <c r="U27" s="136"/>
      <c r="AH27" s="135"/>
      <c r="AI27" s="136"/>
      <c r="AV27" s="135"/>
    </row>
    <row r="28" spans="1:48" ht="13.8" x14ac:dyDescent="0.25">
      <c r="A28" s="157" t="str" cm="1">
        <f t="array" ref="A28:A33">_xlfn._xlws.FILTER('Class List'!A5:A100, ('Class List'!B5:B100="m") * ('Class List'!C5:C100&gt;=6) * ('Class List'!C5:C100&lt;=9), "")</f>
        <v>Student</v>
      </c>
      <c r="B28" s="108" cm="1">
        <f t="array" ref="B28:B33">_xlfn._xlws.FILTER('Class List'!C5:C100, ('Class List'!B5:B100="m") * ('Class List'!C5:C100&gt;=6) * ('Class List'!C5:C100&lt;=9), "")</f>
        <v>9</v>
      </c>
      <c r="C28" s="217">
        <v>12</v>
      </c>
      <c r="D28" s="153" t="str" cm="1">
        <f t="array" ref="D28">_xlfn.IFS(B28=6, "33.5", B28=7, "31.4", B28=8, "28.6", B28=9, "26.6", ISBLANK(B28), "0")</f>
        <v>26.6</v>
      </c>
      <c r="E28" s="158">
        <f t="shared" ref="E28:E48" si="3">(D28/C28)*100</f>
        <v>221.66666666666669</v>
      </c>
      <c r="F28" s="151" t="str" cm="1">
        <f t="array" ref="F28">_xlfn.IFS(E28&lt;81.5, "Beginning", E28&lt;95, "Progressing", E28&lt;107.5, "At Level", E28&lt;122.5, "Achieving", E28&gt;122.5, "Excelling")</f>
        <v>Excelling</v>
      </c>
      <c r="G28" s="150" t="str" cm="1">
        <f t="array" ref="G28">_xlfn.IFS(E28&lt;80.5, "Beginning", E28&lt;93.5, "Progressing", E28&lt;108, "At Level", E28&lt;122.5, "Achieving", E28&gt;122.5, "Excelling")</f>
        <v>Excelling</v>
      </c>
      <c r="H28" s="149" t="str" cm="1">
        <f t="array" ref="H28">_xlfn.IFS(E28&lt;81, "Beginning", E28&lt;93, "Progressing", E28&lt;108, "At Level", E28&lt;123, "Achieving", E28&gt;123, "Excelling")</f>
        <v>Excelling</v>
      </c>
      <c r="I28" s="148" t="str" cm="1">
        <f t="array" ref="I28">_xlfn.IFS(E28&lt;82, "Beginning", E28&lt;94, "Progressing", E28&lt;106.5, "At Level", E28&lt;119.5, "Achieving", E28&gt;119.5, "Excelling")</f>
        <v>Excelling</v>
      </c>
      <c r="J28" s="157" t="str" cm="1">
        <f t="array" ref="J28:J40">_xlfn._xlws.FILTER('Class List'!A5:A100, ('Class List'!B5:B100="m") * ('Class List'!C5:C100&gt;=9) * ('Class List'!C5:C100&lt;=12), "")</f>
        <v>Student</v>
      </c>
      <c r="K28" s="108" cm="1">
        <f t="array" ref="K28:K40">_xlfn._xlws.FILTER('Class List'!C5:C100, ('Class List'!B5:B100="m") * ('Class List'!C5:C100&gt;=9) * ('Class List'!C5:C100&lt;=12), "")</f>
        <v>9</v>
      </c>
      <c r="L28" s="217">
        <v>12</v>
      </c>
      <c r="M28" s="153" t="str" cm="1">
        <f t="array" ref="M28">_xlfn.IFS(K28=9, "26.1", K28=10, "26.5", K28=11, "25.5", K28=12, "24.5", ISBLANK(K28), "0")</f>
        <v>26.1</v>
      </c>
      <c r="N28" s="156">
        <f t="shared" ref="N28:N48" si="4">(M28/L28)*100</f>
        <v>217.50000000000003</v>
      </c>
      <c r="O28" s="151" t="str" cm="1">
        <f t="array" ref="O28">_xlfn.IFS(N28&lt;80, "Beginning", N28&lt;93, "Progressing", N28&lt;106.5, "At Level", N28&lt;121.5, "Achieving", N28&gt;121.5, "Excelling")</f>
        <v>Excelling</v>
      </c>
      <c r="P28" s="150" t="str" cm="1">
        <f t="array" ref="P28">_xlfn.IFS(N28&lt;80, "Beginning", N28&lt;93, "Progressing", N28&lt;107.5, "At Level", N28&lt;120.5, "Achieving", N28&gt;120.5, "Excelling")</f>
        <v>Excelling</v>
      </c>
      <c r="Q28" s="149" t="str" cm="1">
        <f t="array" ref="Q28">_xlfn.IFS(N28&lt;76.5, "Beginning", N28&lt;91.5, "Progressing", N28&lt;107, "At Level", N28&lt;121, "Achieving", N28&gt;121, "Excelling")</f>
        <v>Excelling</v>
      </c>
      <c r="R28" s="148" t="str" cm="1">
        <f t="array" ref="R28">_xlfn.IFS(N28&lt;80.5, "Beginning", N28&lt;93.5, "Progressing", N28&lt;107, "At Level", N28&lt;123, "Achieving", N28&gt;123, "Excelling")</f>
        <v>Excelling</v>
      </c>
      <c r="U28" s="136"/>
      <c r="AH28" s="135"/>
      <c r="AI28" s="136"/>
      <c r="AV28" s="135"/>
    </row>
    <row r="29" spans="1:48" ht="13.8" x14ac:dyDescent="0.25">
      <c r="A29" s="157" t="str">
        <v>Student</v>
      </c>
      <c r="B29" s="108">
        <v>9</v>
      </c>
      <c r="C29" s="217">
        <v>14</v>
      </c>
      <c r="D29" s="153" t="str" cm="1">
        <f t="array" ref="D29">_xlfn.IFS(B29=6, "33.5", B29=7, "31.4", B29=8, "28.6", B29=9, "26.6", ISBLANK(B29), "0")</f>
        <v>26.6</v>
      </c>
      <c r="E29" s="158">
        <f t="shared" si="3"/>
        <v>190</v>
      </c>
      <c r="F29" s="151" t="str" cm="1">
        <f t="array" ref="F29">_xlfn.IFS(E29&lt;81.5, "Beginning", E29&lt;95, "Progressing", E29&lt;107.5, "At Level", E29&lt;122.5, "Achieving", E29&gt;122.5, "Excelling")</f>
        <v>Excelling</v>
      </c>
      <c r="G29" s="150" t="str" cm="1">
        <f t="array" ref="G29">_xlfn.IFS(E29&lt;80.5, "Beginning", E29&lt;93.5, "Progressing", E29&lt;108, "At Level", E29&lt;122.5, "Achieving", E29&gt;122.5, "Excelling")</f>
        <v>Excelling</v>
      </c>
      <c r="H29" s="149" t="str" cm="1">
        <f t="array" ref="H29">_xlfn.IFS(E29&lt;81, "Beginning", E29&lt;93, "Progressing", E29&lt;108, "At Level", E29&lt;123, "Achieving", E29&gt;123, "Excelling")</f>
        <v>Excelling</v>
      </c>
      <c r="I29" s="148" t="str" cm="1">
        <f t="array" ref="I29">_xlfn.IFS(E29&lt;82, "Beginning", E29&lt;94, "Progressing", E29&lt;106.5, "At Level", E29&lt;119.5, "Achieving", E29&gt;119.5, "Excelling")</f>
        <v>Excelling</v>
      </c>
      <c r="J29" s="157" t="str">
        <v>Student</v>
      </c>
      <c r="K29" s="108">
        <v>9</v>
      </c>
      <c r="L29" s="217">
        <v>14</v>
      </c>
      <c r="M29" s="153" t="str" cm="1">
        <f t="array" ref="M29">_xlfn.IFS(K29=9, "26.1", K29=10, "26.5", K29=11, "25.5", K29=12, "24.5", ISBLANK(K29), "0")</f>
        <v>26.1</v>
      </c>
      <c r="N29" s="156">
        <f t="shared" si="4"/>
        <v>186.42857142857144</v>
      </c>
      <c r="O29" s="151" t="str" cm="1">
        <f t="array" ref="O29">_xlfn.IFS(N29&lt;80, "Beginning", N29&lt;93, "Progressing", N29&lt;106.5, "At Level", N29&lt;121.5, "Achieving", N29&gt;121.5, "Excelling")</f>
        <v>Excelling</v>
      </c>
      <c r="P29" s="150" t="str" cm="1">
        <f t="array" ref="P29">_xlfn.IFS(N29&lt;80, "Beginning", N29&lt;93, "Progressing", N29&lt;107.5, "At Level", N29&lt;120.5, "Achieving", N29&gt;120.5, "Excelling")</f>
        <v>Excelling</v>
      </c>
      <c r="Q29" s="149" t="str" cm="1">
        <f t="array" ref="Q29">_xlfn.IFS(N29&lt;76.5, "Beginning", N29&lt;91.5, "Progressing", N29&lt;107, "At Level", N29&lt;121, "Achieving", N29&gt;121, "Excelling")</f>
        <v>Excelling</v>
      </c>
      <c r="R29" s="148" t="str" cm="1">
        <f t="array" ref="R29">_xlfn.IFS(N29&lt;80.5, "Beginning", N29&lt;93.5, "Progressing", N29&lt;107, "At Level", N29&lt;123, "Achieving", N29&gt;123, "Excelling")</f>
        <v>Excelling</v>
      </c>
      <c r="U29" s="136"/>
      <c r="AH29" s="135"/>
      <c r="AI29" s="136"/>
      <c r="AV29" s="135"/>
    </row>
    <row r="30" spans="1:48" ht="13.8" x14ac:dyDescent="0.25">
      <c r="A30" s="157" t="str">
        <v>Student</v>
      </c>
      <c r="B30" s="108">
        <v>9</v>
      </c>
      <c r="C30" s="217">
        <v>45</v>
      </c>
      <c r="D30" s="153" t="str" cm="1">
        <f t="array" ref="D30">_xlfn.IFS(B30=6, "33.5", B30=7, "31.4", B30=8, "28.6", B30=9, "26.6", ISBLANK(B30), "0")</f>
        <v>26.6</v>
      </c>
      <c r="E30" s="158">
        <f t="shared" si="3"/>
        <v>59.111111111111114</v>
      </c>
      <c r="F30" s="151" t="str" cm="1">
        <f t="array" ref="F30">_xlfn.IFS(E30&lt;81.5, "Beginning", E30&lt;95, "Progressing", E30&lt;107.5, "At Level", E30&lt;122.5, "Achieving", E30&gt;122.5, "Excelling")</f>
        <v>Beginning</v>
      </c>
      <c r="G30" s="150" t="str" cm="1">
        <f t="array" ref="G30">_xlfn.IFS(E30&lt;80.5, "Beginning", E30&lt;93.5, "Progressing", E30&lt;108, "At Level", E30&lt;122.5, "Achieving", E30&gt;122.5, "Excelling")</f>
        <v>Beginning</v>
      </c>
      <c r="H30" s="149" t="str" cm="1">
        <f t="array" ref="H30">_xlfn.IFS(E30&lt;81, "Beginning", E30&lt;93, "Progressing", E30&lt;108, "At Level", E30&lt;123, "Achieving", E30&gt;123, "Excelling")</f>
        <v>Beginning</v>
      </c>
      <c r="I30" s="148" t="str" cm="1">
        <f t="array" ref="I30">_xlfn.IFS(E30&lt;82, "Beginning", E30&lt;94, "Progressing", E30&lt;106.5, "At Level", E30&lt;119.5, "Achieving", E30&gt;119.5, "Excelling")</f>
        <v>Beginning</v>
      </c>
      <c r="J30" s="157" t="str">
        <v>Student</v>
      </c>
      <c r="K30" s="108">
        <v>10</v>
      </c>
      <c r="L30" s="217">
        <v>26</v>
      </c>
      <c r="M30" s="153" t="str" cm="1">
        <f t="array" ref="M30">_xlfn.IFS(K30=9, "26.1", K30=10, "26.5", K30=11, "25.5", K30=12, "24.5", ISBLANK(K30), "0")</f>
        <v>26.5</v>
      </c>
      <c r="N30" s="156">
        <f t="shared" si="4"/>
        <v>101.92307692307692</v>
      </c>
      <c r="O30" s="151" t="str" cm="1">
        <f t="array" ref="O30">_xlfn.IFS(N30&lt;80, "Beginning", N30&lt;93, "Progressing", N30&lt;106.5, "At Level", N30&lt;121.5, "Achieving", N30&gt;121.5, "Excelling")</f>
        <v>At Level</v>
      </c>
      <c r="P30" s="150" t="str" cm="1">
        <f t="array" ref="P30">_xlfn.IFS(N30&lt;80, "Beginning", N30&lt;93, "Progressing", N30&lt;107.5, "At Level", N30&lt;120.5, "Achieving", N30&gt;120.5, "Excelling")</f>
        <v>At Level</v>
      </c>
      <c r="Q30" s="149" t="str" cm="1">
        <f t="array" ref="Q30">_xlfn.IFS(N30&lt;76.5, "Beginning", N30&lt;91.5, "Progressing", N30&lt;107, "At Level", N30&lt;121, "Achieving", N30&gt;121, "Excelling")</f>
        <v>At Level</v>
      </c>
      <c r="R30" s="148" t="str" cm="1">
        <f t="array" ref="R30">_xlfn.IFS(N30&lt;80.5, "Beginning", N30&lt;93.5, "Progressing", N30&lt;107, "At Level", N30&lt;123, "Achieving", N30&gt;123, "Excelling")</f>
        <v>At Level</v>
      </c>
      <c r="U30" s="136"/>
      <c r="AH30" s="135"/>
      <c r="AI30" s="136"/>
      <c r="AV30" s="135"/>
    </row>
    <row r="31" spans="1:48" ht="13.8" x14ac:dyDescent="0.25">
      <c r="A31" s="157" t="str">
        <v>Student</v>
      </c>
      <c r="B31" s="108">
        <v>9</v>
      </c>
      <c r="C31" s="217">
        <v>33</v>
      </c>
      <c r="D31" s="153" t="str" cm="1">
        <f t="array" ref="D31">_xlfn.IFS(B31=6, "33.5", B31=7, "31.4", B31=8, "28.6", B31=9, "26.6", ISBLANK(B31), "0")</f>
        <v>26.6</v>
      </c>
      <c r="E31" s="158">
        <f t="shared" si="3"/>
        <v>80.606060606060609</v>
      </c>
      <c r="F31" s="151" t="str" cm="1">
        <f t="array" ref="F31">_xlfn.IFS(E31&lt;81.5, "Beginning", E31&lt;95, "Progressing", E31&lt;107.5, "At Level", E31&lt;122.5, "Achieving", E31&gt;122.5, "Excelling")</f>
        <v>Beginning</v>
      </c>
      <c r="G31" s="150" t="str" cm="1">
        <f t="array" ref="G31">_xlfn.IFS(E31&lt;80.5, "Beginning", E31&lt;93.5, "Progressing", E31&lt;108, "At Level", E31&lt;122.5, "Achieving", E31&gt;122.5, "Excelling")</f>
        <v>Progressing</v>
      </c>
      <c r="H31" s="149" t="str" cm="1">
        <f t="array" ref="H31">_xlfn.IFS(E31&lt;81, "Beginning", E31&lt;93, "Progressing", E31&lt;108, "At Level", E31&lt;123, "Achieving", E31&gt;123, "Excelling")</f>
        <v>Beginning</v>
      </c>
      <c r="I31" s="148" t="str" cm="1">
        <f t="array" ref="I31">_xlfn.IFS(E31&lt;82, "Beginning", E31&lt;94, "Progressing", E31&lt;106.5, "At Level", E31&lt;119.5, "Achieving", E31&gt;119.5, "Excelling")</f>
        <v>Beginning</v>
      </c>
      <c r="J31" s="157" t="str">
        <v>Student</v>
      </c>
      <c r="K31" s="108">
        <v>10</v>
      </c>
      <c r="L31" s="217">
        <v>19</v>
      </c>
      <c r="M31" s="153" t="str" cm="1">
        <f t="array" ref="M31">_xlfn.IFS(K31=9, "26.1", K31=10, "26.5", K31=11, "25.5", K31=12, "24.5", ISBLANK(K31), "0")</f>
        <v>26.5</v>
      </c>
      <c r="N31" s="156">
        <f t="shared" si="4"/>
        <v>139.4736842105263</v>
      </c>
      <c r="O31" s="151" t="str" cm="1">
        <f t="array" ref="O31">_xlfn.IFS(N31&lt;80, "Beginning", N31&lt;93, "Progressing", N31&lt;106.5, "At Level", N31&lt;121.5, "Achieving", N31&gt;121.5, "Excelling")</f>
        <v>Excelling</v>
      </c>
      <c r="P31" s="150" t="str" cm="1">
        <f t="array" ref="P31">_xlfn.IFS(N31&lt;80, "Beginning", N31&lt;93, "Progressing", N31&lt;107.5, "At Level", N31&lt;120.5, "Achieving", N31&gt;120.5, "Excelling")</f>
        <v>Excelling</v>
      </c>
      <c r="Q31" s="149" t="str" cm="1">
        <f t="array" ref="Q31">_xlfn.IFS(N31&lt;76.5, "Beginning", N31&lt;91.5, "Progressing", N31&lt;107, "At Level", N31&lt;121, "Achieving", N31&gt;121, "Excelling")</f>
        <v>Excelling</v>
      </c>
      <c r="R31" s="148" t="str" cm="1">
        <f t="array" ref="R31">_xlfn.IFS(N31&lt;80.5, "Beginning", N31&lt;93.5, "Progressing", N31&lt;107, "At Level", N31&lt;123, "Achieving", N31&gt;123, "Excelling")</f>
        <v>Excelling</v>
      </c>
      <c r="U31" s="136"/>
      <c r="AH31" s="135"/>
      <c r="AI31" s="136"/>
      <c r="AV31" s="135"/>
    </row>
    <row r="32" spans="1:48" ht="13.8" x14ac:dyDescent="0.25">
      <c r="A32" s="157" t="str">
        <v>Student</v>
      </c>
      <c r="B32" s="108">
        <v>9</v>
      </c>
      <c r="C32" s="217">
        <v>34</v>
      </c>
      <c r="D32" s="153" t="str" cm="1">
        <f t="array" ref="D32">_xlfn.IFS(B32=6, "33.5", B32=7, "31.4", B32=8, "28.6", B32=9, "26.6", ISBLANK(B32), "0")</f>
        <v>26.6</v>
      </c>
      <c r="E32" s="158">
        <f t="shared" si="3"/>
        <v>78.235294117647058</v>
      </c>
      <c r="F32" s="151" t="str" cm="1">
        <f t="array" ref="F32">_xlfn.IFS(E32&lt;81.5, "Beginning", E32&lt;95, "Progressing", E32&lt;107.5, "At Level", E32&lt;122.5, "Achieving", E32&gt;122.5, "Excelling")</f>
        <v>Beginning</v>
      </c>
      <c r="G32" s="150" t="str" cm="1">
        <f t="array" ref="G32">_xlfn.IFS(E32&lt;80.5, "Beginning", E32&lt;93.5, "Progressing", E32&lt;108, "At Level", E32&lt;122.5, "Achieving", E32&gt;122.5, "Excelling")</f>
        <v>Beginning</v>
      </c>
      <c r="H32" s="149" t="str" cm="1">
        <f t="array" ref="H32">_xlfn.IFS(E32&lt;81, "Beginning", E32&lt;93, "Progressing", E32&lt;108, "At Level", E32&lt;123, "Achieving", E32&gt;123, "Excelling")</f>
        <v>Beginning</v>
      </c>
      <c r="I32" s="148" t="str" cm="1">
        <f t="array" ref="I32">_xlfn.IFS(E32&lt;82, "Beginning", E32&lt;94, "Progressing", E32&lt;106.5, "At Level", E32&lt;119.5, "Achieving", E32&gt;119.5, "Excelling")</f>
        <v>Beginning</v>
      </c>
      <c r="J32" s="157" t="str">
        <v>Student</v>
      </c>
      <c r="K32" s="108">
        <v>9</v>
      </c>
      <c r="L32" s="217">
        <v>45</v>
      </c>
      <c r="M32" s="153" t="str" cm="1">
        <f t="array" ref="M32">_xlfn.IFS(K32=9, "26.1", K32=10, "26.5", K32=11, "25.5", K32=12, "24.5", ISBLANK(K32), "0")</f>
        <v>26.1</v>
      </c>
      <c r="N32" s="156">
        <f t="shared" si="4"/>
        <v>58.000000000000007</v>
      </c>
      <c r="O32" s="151" t="str" cm="1">
        <f t="array" ref="O32">_xlfn.IFS(N32&lt;80, "Beginning", N32&lt;93, "Progressing", N32&lt;106.5, "At Level", N32&lt;121.5, "Achieving", N32&gt;121.5, "Excelling")</f>
        <v>Beginning</v>
      </c>
      <c r="P32" s="150" t="str" cm="1">
        <f t="array" ref="P32">_xlfn.IFS(N32&lt;80, "Beginning", N32&lt;93, "Progressing", N32&lt;107.5, "At Level", N32&lt;120.5, "Achieving", N32&gt;120.5, "Excelling")</f>
        <v>Beginning</v>
      </c>
      <c r="Q32" s="149" t="str" cm="1">
        <f t="array" ref="Q32">_xlfn.IFS(N32&lt;76.5, "Beginning", N32&lt;91.5, "Progressing", N32&lt;107, "At Level", N32&lt;121, "Achieving", N32&gt;121, "Excelling")</f>
        <v>Beginning</v>
      </c>
      <c r="R32" s="148" t="str" cm="1">
        <f t="array" ref="R32">_xlfn.IFS(N32&lt;80.5, "Beginning", N32&lt;93.5, "Progressing", N32&lt;107, "At Level", N32&lt;123, "Achieving", N32&gt;123, "Excelling")</f>
        <v>Beginning</v>
      </c>
      <c r="U32" s="136"/>
      <c r="AH32" s="135"/>
      <c r="AI32" s="136"/>
      <c r="AV32" s="135"/>
    </row>
    <row r="33" spans="1:48" ht="13.8" x14ac:dyDescent="0.25">
      <c r="A33" s="157" t="str">
        <v>Student</v>
      </c>
      <c r="B33" s="108">
        <v>9</v>
      </c>
      <c r="C33" s="217">
        <v>12</v>
      </c>
      <c r="D33" s="153" t="str" cm="1">
        <f t="array" ref="D33">_xlfn.IFS(B33=6, "33.5", B33=7, "31.4", B33=8, "28.6", B33=9, "26.6", ISBLANK(B33), "0")</f>
        <v>26.6</v>
      </c>
      <c r="E33" s="158">
        <f t="shared" si="3"/>
        <v>221.66666666666669</v>
      </c>
      <c r="F33" s="151" t="str" cm="1">
        <f t="array" ref="F33">_xlfn.IFS(E33&lt;81.5, "Beginning", E33&lt;95, "Progressing", E33&lt;107.5, "At Level", E33&lt;122.5, "Achieving", E33&gt;122.5, "Excelling")</f>
        <v>Excelling</v>
      </c>
      <c r="G33" s="150" t="str" cm="1">
        <f t="array" ref="G33">_xlfn.IFS(E33&lt;80.5, "Beginning", E33&lt;93.5, "Progressing", E33&lt;108, "At Level", E33&lt;122.5, "Achieving", E33&gt;122.5, "Excelling")</f>
        <v>Excelling</v>
      </c>
      <c r="H33" s="149" t="str" cm="1">
        <f t="array" ref="H33">_xlfn.IFS(E33&lt;81, "Beginning", E33&lt;93, "Progressing", E33&lt;108, "At Level", E33&lt;123, "Achieving", E33&gt;123, "Excelling")</f>
        <v>Excelling</v>
      </c>
      <c r="I33" s="148" t="str" cm="1">
        <f t="array" ref="I33">_xlfn.IFS(E33&lt;82, "Beginning", E33&lt;94, "Progressing", E33&lt;106.5, "At Level", E33&lt;119.5, "Achieving", E33&gt;119.5, "Excelling")</f>
        <v>Excelling</v>
      </c>
      <c r="J33" s="157" t="str">
        <v>Student</v>
      </c>
      <c r="K33" s="108">
        <v>10</v>
      </c>
      <c r="L33" s="217">
        <v>29</v>
      </c>
      <c r="M33" s="153" t="str" cm="1">
        <f t="array" ref="M33">_xlfn.IFS(K33=9, "26.1", K33=10, "26.5", K33=11, "25.5", K33=12, "24.5", ISBLANK(K33), "0")</f>
        <v>26.5</v>
      </c>
      <c r="N33" s="156">
        <f t="shared" si="4"/>
        <v>91.379310344827587</v>
      </c>
      <c r="O33" s="151" t="str" cm="1">
        <f t="array" ref="O33">_xlfn.IFS(N33&lt;80, "Beginning", N33&lt;93, "Progressing", N33&lt;106.5, "At Level", N33&lt;121.5, "Achieving", N33&gt;121.5, "Excelling")</f>
        <v>Progressing</v>
      </c>
      <c r="P33" s="150" t="str" cm="1">
        <f t="array" ref="P33">_xlfn.IFS(N33&lt;80, "Beginning", N33&lt;93, "Progressing", N33&lt;107.5, "At Level", N33&lt;120.5, "Achieving", N33&gt;120.5, "Excelling")</f>
        <v>Progressing</v>
      </c>
      <c r="Q33" s="149" t="str" cm="1">
        <f t="array" ref="Q33">_xlfn.IFS(N33&lt;76.5, "Beginning", N33&lt;91.5, "Progressing", N33&lt;107, "At Level", N33&lt;121, "Achieving", N33&gt;121, "Excelling")</f>
        <v>Progressing</v>
      </c>
      <c r="R33" s="148" t="str" cm="1">
        <f t="array" ref="R33">_xlfn.IFS(N33&lt;80.5, "Beginning", N33&lt;93.5, "Progressing", N33&lt;107, "At Level", N33&lt;123, "Achieving", N33&gt;123, "Excelling")</f>
        <v>Progressing</v>
      </c>
      <c r="U33" s="136"/>
      <c r="AH33" s="135"/>
      <c r="AI33" s="136"/>
      <c r="AV33" s="135"/>
    </row>
    <row r="34" spans="1:48" ht="13.8" x14ac:dyDescent="0.25">
      <c r="A34" s="157"/>
      <c r="B34" s="108"/>
      <c r="C34" s="217"/>
      <c r="D34" s="153" t="str" cm="1">
        <f t="array" ref="D34">_xlfn.IFS(B34=6, "33.5", B34=7, "31.4", B34=8, "28.6", B34=9, "26.6", ISBLANK(B34), "0")</f>
        <v>0</v>
      </c>
      <c r="E34" s="158" t="e">
        <f t="shared" si="3"/>
        <v>#DIV/0!</v>
      </c>
      <c r="F34" s="151" t="e" cm="1">
        <f t="array" ref="F34">_xlfn.IFS(E34&lt;81.5, "Beginning", E34&lt;95, "Progressing", E34&lt;107.5, "At Level", E34&lt;122.5, "Achieving", E34&gt;122.5, "Excelling")</f>
        <v>#DIV/0!</v>
      </c>
      <c r="G34" s="150" t="e" cm="1">
        <f t="array" ref="G34">_xlfn.IFS(E34&lt;80.5, "Beginning", E34&lt;93.5, "Progressing", E34&lt;108, "At Level", E34&lt;122.5, "Achieving", E34&gt;122.5, "Excelling")</f>
        <v>#DIV/0!</v>
      </c>
      <c r="H34" s="149" t="e" cm="1">
        <f t="array" ref="H34">_xlfn.IFS(E34&lt;81, "Beginning", E34&lt;93, "Progressing", E34&lt;108, "At Level", E34&lt;123, "Achieving", E34&gt;123, "Excelling")</f>
        <v>#DIV/0!</v>
      </c>
      <c r="I34" s="148" t="e" cm="1">
        <f t="array" ref="I34">_xlfn.IFS(E34&lt;82, "Beginning", E34&lt;94, "Progressing", E34&lt;106.5, "At Level", E34&lt;119.5, "Achieving", E34&gt;119.5, "Excelling")</f>
        <v>#DIV/0!</v>
      </c>
      <c r="J34" s="157" t="str">
        <v>Student</v>
      </c>
      <c r="K34" s="108">
        <v>10</v>
      </c>
      <c r="L34" s="217">
        <v>28.5</v>
      </c>
      <c r="M34" s="153" t="str" cm="1">
        <f t="array" ref="M34">_xlfn.IFS(K34=9, "26.1", K34=10, "26.5", K34=11, "25.5", K34=12, "24.5", ISBLANK(K34), "0")</f>
        <v>26.5</v>
      </c>
      <c r="N34" s="156">
        <f t="shared" si="4"/>
        <v>92.982456140350877</v>
      </c>
      <c r="O34" s="151" t="str" cm="1">
        <f t="array" ref="O34">_xlfn.IFS(N34&lt;80, "Beginning", N34&lt;93, "Progressing", N34&lt;106.5, "At Level", N34&lt;121.5, "Achieving", N34&gt;121.5, "Excelling")</f>
        <v>Progressing</v>
      </c>
      <c r="P34" s="150" t="str" cm="1">
        <f t="array" ref="P34">_xlfn.IFS(N34&lt;80, "Beginning", N34&lt;93, "Progressing", N34&lt;107.5, "At Level", N34&lt;120.5, "Achieving", N34&gt;120.5, "Excelling")</f>
        <v>Progressing</v>
      </c>
      <c r="Q34" s="149" t="str" cm="1">
        <f t="array" ref="Q34">_xlfn.IFS(N34&lt;76.5, "Beginning", N34&lt;91.5, "Progressing", N34&lt;107, "At Level", N34&lt;121, "Achieving", N34&gt;121, "Excelling")</f>
        <v>At Level</v>
      </c>
      <c r="R34" s="148" t="str" cm="1">
        <f t="array" ref="R34">_xlfn.IFS(N34&lt;80.5, "Beginning", N34&lt;93.5, "Progressing", N34&lt;107, "At Level", N34&lt;123, "Achieving", N34&gt;123, "Excelling")</f>
        <v>Progressing</v>
      </c>
      <c r="U34" s="136"/>
      <c r="AH34" s="135"/>
      <c r="AI34" s="136"/>
      <c r="AV34" s="135"/>
    </row>
    <row r="35" spans="1:48" ht="13.8" x14ac:dyDescent="0.25">
      <c r="A35" s="157"/>
      <c r="B35" s="108"/>
      <c r="C35" s="217"/>
      <c r="D35" s="153" t="str" cm="1">
        <f t="array" ref="D35">_xlfn.IFS(B35=6, "33.5", B35=7, "31.4", B35=8, "28.6", B35=9, "26.6", ISBLANK(B35), "0")</f>
        <v>0</v>
      </c>
      <c r="E35" s="158" t="e">
        <f t="shared" si="3"/>
        <v>#DIV/0!</v>
      </c>
      <c r="F35" s="151" t="e" cm="1">
        <f t="array" ref="F35">_xlfn.IFS(E35&lt;81.5, "Beginning", E35&lt;95, "Progressing", E35&lt;107.5, "At Level", E35&lt;122.5, "Achieving", E35&gt;122.5, "Excelling")</f>
        <v>#DIV/0!</v>
      </c>
      <c r="G35" s="150" t="e" cm="1">
        <f t="array" ref="G35">_xlfn.IFS(E35&lt;80.5, "Beginning", E35&lt;93.5, "Progressing", E35&lt;108, "At Level", E35&lt;122.5, "Achieving", E35&gt;122.5, "Excelling")</f>
        <v>#DIV/0!</v>
      </c>
      <c r="H35" s="149" t="e" cm="1">
        <f t="array" ref="H35">_xlfn.IFS(E35&lt;81, "Beginning", E35&lt;93, "Progressing", E35&lt;108, "At Level", E35&lt;123, "Achieving", E35&gt;123, "Excelling")</f>
        <v>#DIV/0!</v>
      </c>
      <c r="I35" s="148" t="e" cm="1">
        <f t="array" ref="I35">_xlfn.IFS(E35&lt;82, "Beginning", E35&lt;94, "Progressing", E35&lt;106.5, "At Level", E35&lt;119.5, "Achieving", E35&gt;119.5, "Excelling")</f>
        <v>#DIV/0!</v>
      </c>
      <c r="J35" s="157" t="str">
        <v>Student</v>
      </c>
      <c r="K35" s="108">
        <v>10</v>
      </c>
      <c r="L35" s="217">
        <v>32</v>
      </c>
      <c r="M35" s="153" t="str" cm="1">
        <f t="array" ref="M35">_xlfn.IFS(K35=9, "26.1", K35=10, "26.5", K35=11, "25.5", K35=12, "24.5", ISBLANK(K35), "0")</f>
        <v>26.5</v>
      </c>
      <c r="N35" s="156">
        <f t="shared" si="4"/>
        <v>82.8125</v>
      </c>
      <c r="O35" s="151" t="str" cm="1">
        <f t="array" ref="O35">_xlfn.IFS(N35&lt;80, "Beginning", N35&lt;93, "Progressing", N35&lt;106.5, "At Level", N35&lt;121.5, "Achieving", N35&gt;121.5, "Excelling")</f>
        <v>Progressing</v>
      </c>
      <c r="P35" s="150" t="str" cm="1">
        <f t="array" ref="P35">_xlfn.IFS(N35&lt;80, "Beginning", N35&lt;93, "Progressing", N35&lt;107.5, "At Level", N35&lt;120.5, "Achieving", N35&gt;120.5, "Excelling")</f>
        <v>Progressing</v>
      </c>
      <c r="Q35" s="149" t="str" cm="1">
        <f t="array" ref="Q35">_xlfn.IFS(N35&lt;76.5, "Beginning", N35&lt;91.5, "Progressing", N35&lt;107, "At Level", N35&lt;121, "Achieving", N35&gt;121, "Excelling")</f>
        <v>Progressing</v>
      </c>
      <c r="R35" s="148" t="str" cm="1">
        <f t="array" ref="R35">_xlfn.IFS(N35&lt;80.5, "Beginning", N35&lt;93.5, "Progressing", N35&lt;107, "At Level", N35&lt;123, "Achieving", N35&gt;123, "Excelling")</f>
        <v>Progressing</v>
      </c>
      <c r="U35" s="136"/>
      <c r="AH35" s="135"/>
      <c r="AI35" s="136"/>
      <c r="AV35" s="135"/>
    </row>
    <row r="36" spans="1:48" ht="13.8" x14ac:dyDescent="0.25">
      <c r="A36" s="157"/>
      <c r="B36" s="108"/>
      <c r="C36" s="217"/>
      <c r="D36" s="153" t="str" cm="1">
        <f t="array" ref="D36">_xlfn.IFS(B36=6, "33.5", B36=7, "31.4", B36=8, "28.6", B36=9, "26.6", ISBLANK(B36), "0")</f>
        <v>0</v>
      </c>
      <c r="E36" s="158" t="e">
        <f t="shared" si="3"/>
        <v>#DIV/0!</v>
      </c>
      <c r="F36" s="151" t="e" cm="1">
        <f t="array" ref="F36">_xlfn.IFS(E36&lt;81.5, "Beginning", E36&lt;95, "Progressing", E36&lt;107.5, "At Level", E36&lt;122.5, "Achieving", E36&gt;122.5, "Excelling")</f>
        <v>#DIV/0!</v>
      </c>
      <c r="G36" s="150" t="e" cm="1">
        <f t="array" ref="G36">_xlfn.IFS(E36&lt;80.5, "Beginning", E36&lt;93.5, "Progressing", E36&lt;108, "At Level", E36&lt;122.5, "Achieving", E36&gt;122.5, "Excelling")</f>
        <v>#DIV/0!</v>
      </c>
      <c r="H36" s="149" t="e" cm="1">
        <f t="array" ref="H36">_xlfn.IFS(E36&lt;81, "Beginning", E36&lt;93, "Progressing", E36&lt;108, "At Level", E36&lt;123, "Achieving", E36&gt;123, "Excelling")</f>
        <v>#DIV/0!</v>
      </c>
      <c r="I36" s="148" t="e" cm="1">
        <f t="array" ref="I36">_xlfn.IFS(E36&lt;82, "Beginning", E36&lt;94, "Progressing", E36&lt;106.5, "At Level", E36&lt;119.5, "Achieving", E36&gt;119.5, "Excelling")</f>
        <v>#DIV/0!</v>
      </c>
      <c r="J36" s="157" t="str">
        <v>Student</v>
      </c>
      <c r="K36" s="108">
        <v>10</v>
      </c>
      <c r="L36" s="217">
        <v>34</v>
      </c>
      <c r="M36" s="153" t="str" cm="1">
        <f t="array" ref="M36">_xlfn.IFS(K36=9, "26.1", K36=10, "26.5", K36=11, "25.5", K36=12, "24.5", ISBLANK(K36), "0")</f>
        <v>26.5</v>
      </c>
      <c r="N36" s="156">
        <f t="shared" si="4"/>
        <v>77.941176470588232</v>
      </c>
      <c r="O36" s="151" t="str" cm="1">
        <f t="array" ref="O36">_xlfn.IFS(N36&lt;80, "Beginning", N36&lt;93, "Progressing", N36&lt;106.5, "At Level", N36&lt;121.5, "Achieving", N36&gt;121.5, "Excelling")</f>
        <v>Beginning</v>
      </c>
      <c r="P36" s="150" t="str" cm="1">
        <f t="array" ref="P36">_xlfn.IFS(N36&lt;80, "Beginning", N36&lt;93, "Progressing", N36&lt;107.5, "At Level", N36&lt;120.5, "Achieving", N36&gt;120.5, "Excelling")</f>
        <v>Beginning</v>
      </c>
      <c r="Q36" s="149" t="str" cm="1">
        <f t="array" ref="Q36">_xlfn.IFS(N36&lt;76.5, "Beginning", N36&lt;91.5, "Progressing", N36&lt;107, "At Level", N36&lt;121, "Achieving", N36&gt;121, "Excelling")</f>
        <v>Progressing</v>
      </c>
      <c r="R36" s="148" t="str" cm="1">
        <f t="array" ref="R36">_xlfn.IFS(N36&lt;80.5, "Beginning", N36&lt;93.5, "Progressing", N36&lt;107, "At Level", N36&lt;123, "Achieving", N36&gt;123, "Excelling")</f>
        <v>Beginning</v>
      </c>
      <c r="U36" s="136"/>
      <c r="AH36" s="135"/>
      <c r="AI36" s="136"/>
      <c r="AV36" s="135"/>
    </row>
    <row r="37" spans="1:48" ht="13.8" x14ac:dyDescent="0.25">
      <c r="A37" s="157"/>
      <c r="B37" s="108"/>
      <c r="C37" s="217"/>
      <c r="D37" s="153" t="str" cm="1">
        <f t="array" ref="D37">_xlfn.IFS(B37=6, "33.5", B37=7, "31.4", B37=8, "28.6", B37=9, "26.6", ISBLANK(B37), "0")</f>
        <v>0</v>
      </c>
      <c r="E37" s="158" t="e">
        <f t="shared" si="3"/>
        <v>#DIV/0!</v>
      </c>
      <c r="F37" s="151" t="e" cm="1">
        <f t="array" ref="F37">_xlfn.IFS(E37&lt;81.5, "Beginning", E37&lt;95, "Progressing", E37&lt;107.5, "At Level", E37&lt;122.5, "Achieving", E37&gt;122.5, "Excelling")</f>
        <v>#DIV/0!</v>
      </c>
      <c r="G37" s="150" t="e" cm="1">
        <f t="array" ref="G37">_xlfn.IFS(E37&lt;80.5, "Beginning", E37&lt;93.5, "Progressing", E37&lt;108, "At Level", E37&lt;122.5, "Achieving", E37&gt;122.5, "Excelling")</f>
        <v>#DIV/0!</v>
      </c>
      <c r="H37" s="149" t="e" cm="1">
        <f t="array" ref="H37">_xlfn.IFS(E37&lt;81, "Beginning", E37&lt;93, "Progressing", E37&lt;108, "At Level", E37&lt;123, "Achieving", E37&gt;123, "Excelling")</f>
        <v>#DIV/0!</v>
      </c>
      <c r="I37" s="148" t="e" cm="1">
        <f t="array" ref="I37">_xlfn.IFS(E37&lt;82, "Beginning", E37&lt;94, "Progressing", E37&lt;106.5, "At Level", E37&lt;119.5, "Achieving", E37&gt;119.5, "Excelling")</f>
        <v>#DIV/0!</v>
      </c>
      <c r="J37" s="157" t="str">
        <v>Student</v>
      </c>
      <c r="K37" s="108">
        <v>9</v>
      </c>
      <c r="L37" s="217">
        <v>33</v>
      </c>
      <c r="M37" s="153" t="str" cm="1">
        <f t="array" ref="M37">_xlfn.IFS(K37=9, "26.1", K37=10, "26.5", K37=11, "25.5", K37=12, "24.5", ISBLANK(K37), "0")</f>
        <v>26.1</v>
      </c>
      <c r="N37" s="156">
        <f t="shared" si="4"/>
        <v>79.090909090909093</v>
      </c>
      <c r="O37" s="151" t="str" cm="1">
        <f t="array" ref="O37">_xlfn.IFS(N37&lt;80, "Beginning", N37&lt;93, "Progressing", N37&lt;106.5, "At Level", N37&lt;121.5, "Achieving", N37&gt;121.5, "Excelling")</f>
        <v>Beginning</v>
      </c>
      <c r="P37" s="150" t="str" cm="1">
        <f t="array" ref="P37">_xlfn.IFS(N37&lt;80, "Beginning", N37&lt;93, "Progressing", N37&lt;107.5, "At Level", N37&lt;120.5, "Achieving", N37&gt;120.5, "Excelling")</f>
        <v>Beginning</v>
      </c>
      <c r="Q37" s="149" t="str" cm="1">
        <f t="array" ref="Q37">_xlfn.IFS(N37&lt;76.5, "Beginning", N37&lt;91.5, "Progressing", N37&lt;107, "At Level", N37&lt;121, "Achieving", N37&gt;121, "Excelling")</f>
        <v>Progressing</v>
      </c>
      <c r="R37" s="148" t="str" cm="1">
        <f t="array" ref="R37">_xlfn.IFS(N37&lt;80.5, "Beginning", N37&lt;93.5, "Progressing", N37&lt;107, "At Level", N37&lt;123, "Achieving", N37&gt;123, "Excelling")</f>
        <v>Beginning</v>
      </c>
      <c r="U37" s="136"/>
      <c r="AH37" s="135"/>
      <c r="AI37" s="136"/>
      <c r="AV37" s="135"/>
    </row>
    <row r="38" spans="1:48" ht="13.8" x14ac:dyDescent="0.25">
      <c r="A38" s="157"/>
      <c r="B38" s="108"/>
      <c r="C38" s="217"/>
      <c r="D38" s="153" t="str" cm="1">
        <f t="array" ref="D38">_xlfn.IFS(B38=6, "33.5", B38=7, "31.4", B38=8, "28.6", B38=9, "26.6", ISBLANK(B38), "0")</f>
        <v>0</v>
      </c>
      <c r="E38" s="158" t="e">
        <f t="shared" si="3"/>
        <v>#DIV/0!</v>
      </c>
      <c r="F38" s="151" t="e" cm="1">
        <f t="array" ref="F38">_xlfn.IFS(E38&lt;81.5, "Beginning", E38&lt;95, "Progressing", E38&lt;107.5, "At Level", E38&lt;122.5, "Achieving", E38&gt;122.5, "Excelling")</f>
        <v>#DIV/0!</v>
      </c>
      <c r="G38" s="150" t="e" cm="1">
        <f t="array" ref="G38">_xlfn.IFS(E38&lt;80.5, "Beginning", E38&lt;93.5, "Progressing", E38&lt;108, "At Level", E38&lt;122.5, "Achieving", E38&gt;122.5, "Excelling")</f>
        <v>#DIV/0!</v>
      </c>
      <c r="H38" s="149" t="e" cm="1">
        <f t="array" ref="H38">_xlfn.IFS(E38&lt;81, "Beginning", E38&lt;93, "Progressing", E38&lt;108, "At Level", E38&lt;123, "Achieving", E38&gt;123, "Excelling")</f>
        <v>#DIV/0!</v>
      </c>
      <c r="I38" s="148" t="e" cm="1">
        <f t="array" ref="I38">_xlfn.IFS(E38&lt;82, "Beginning", E38&lt;94, "Progressing", E38&lt;106.5, "At Level", E38&lt;119.5, "Achieving", E38&gt;119.5, "Excelling")</f>
        <v>#DIV/0!</v>
      </c>
      <c r="J38" s="157" t="str">
        <v>Student</v>
      </c>
      <c r="K38" s="108">
        <v>10</v>
      </c>
      <c r="L38" s="217">
        <v>26</v>
      </c>
      <c r="M38" s="153" t="str" cm="1">
        <f t="array" ref="M38">_xlfn.IFS(K38=9, "26.1", K38=10, "26.5", K38=11, "25.5", K38=12, "24.5", ISBLANK(K38), "0")</f>
        <v>26.5</v>
      </c>
      <c r="N38" s="156">
        <f t="shared" si="4"/>
        <v>101.92307692307692</v>
      </c>
      <c r="O38" s="151" t="str" cm="1">
        <f t="array" ref="O38">_xlfn.IFS(N38&lt;80, "Beginning", N38&lt;93, "Progressing", N38&lt;106.5, "At Level", N38&lt;121.5, "Achieving", N38&gt;121.5, "Excelling")</f>
        <v>At Level</v>
      </c>
      <c r="P38" s="150" t="str" cm="1">
        <f t="array" ref="P38">_xlfn.IFS(N38&lt;80, "Beginning", N38&lt;93, "Progressing", N38&lt;107.5, "At Level", N38&lt;120.5, "Achieving", N38&gt;120.5, "Excelling")</f>
        <v>At Level</v>
      </c>
      <c r="Q38" s="149" t="str" cm="1">
        <f t="array" ref="Q38">_xlfn.IFS(N38&lt;76.5, "Beginning", N38&lt;91.5, "Progressing", N38&lt;107, "At Level", N38&lt;121, "Achieving", N38&gt;121, "Excelling")</f>
        <v>At Level</v>
      </c>
      <c r="R38" s="148" t="str" cm="1">
        <f t="array" ref="R38">_xlfn.IFS(N38&lt;80.5, "Beginning", N38&lt;93.5, "Progressing", N38&lt;107, "At Level", N38&lt;123, "Achieving", N38&gt;123, "Excelling")</f>
        <v>At Level</v>
      </c>
      <c r="U38" s="136"/>
      <c r="AH38" s="135"/>
      <c r="AI38" s="136"/>
      <c r="AV38" s="135"/>
    </row>
    <row r="39" spans="1:48" ht="13.8" x14ac:dyDescent="0.25">
      <c r="A39" s="157"/>
      <c r="B39" s="108"/>
      <c r="C39" s="217"/>
      <c r="D39" s="153" t="str" cm="1">
        <f t="array" ref="D39">_xlfn.IFS(B39=6, "33.5", B39=7, "31.4", B39=8, "28.6", B39=9, "26.6", ISBLANK(B39), "0")</f>
        <v>0</v>
      </c>
      <c r="E39" s="158" t="e">
        <f t="shared" si="3"/>
        <v>#DIV/0!</v>
      </c>
      <c r="F39" s="151" t="e" cm="1">
        <f t="array" ref="F39">_xlfn.IFS(E39&lt;81.5, "Beginning", E39&lt;95, "Progressing", E39&lt;107.5, "At Level", E39&lt;122.5, "Achieving", E39&gt;122.5, "Excelling")</f>
        <v>#DIV/0!</v>
      </c>
      <c r="G39" s="150" t="e" cm="1">
        <f t="array" ref="G39">_xlfn.IFS(E39&lt;80.5, "Beginning", E39&lt;93.5, "Progressing", E39&lt;108, "At Level", E39&lt;122.5, "Achieving", E39&gt;122.5, "Excelling")</f>
        <v>#DIV/0!</v>
      </c>
      <c r="H39" s="149" t="e" cm="1">
        <f t="array" ref="H39">_xlfn.IFS(E39&lt;81, "Beginning", E39&lt;93, "Progressing", E39&lt;108, "At Level", E39&lt;123, "Achieving", E39&gt;123, "Excelling")</f>
        <v>#DIV/0!</v>
      </c>
      <c r="I39" s="148" t="e" cm="1">
        <f t="array" ref="I39">_xlfn.IFS(E39&lt;82, "Beginning", E39&lt;94, "Progressing", E39&lt;106.5, "At Level", E39&lt;119.5, "Achieving", E39&gt;119.5, "Excelling")</f>
        <v>#DIV/0!</v>
      </c>
      <c r="J39" s="157" t="str">
        <v>Student</v>
      </c>
      <c r="K39" s="108">
        <v>9</v>
      </c>
      <c r="L39" s="217">
        <v>34</v>
      </c>
      <c r="M39" s="153" t="str" cm="1">
        <f t="array" ref="M39">_xlfn.IFS(K39=9, "26.1", K39=10, "26.5", K39=11, "25.5", K39=12, "24.5", ISBLANK(K39), "0")</f>
        <v>26.1</v>
      </c>
      <c r="N39" s="156">
        <f t="shared" si="4"/>
        <v>76.764705882352942</v>
      </c>
      <c r="O39" s="151" t="str" cm="1">
        <f t="array" ref="O39">_xlfn.IFS(N39&lt;80, "Beginning", N39&lt;93, "Progressing", N39&lt;106.5, "At Level", N39&lt;121.5, "Achieving", N39&gt;121.5, "Excelling")</f>
        <v>Beginning</v>
      </c>
      <c r="P39" s="150" t="str" cm="1">
        <f t="array" ref="P39">_xlfn.IFS(N39&lt;80, "Beginning", N39&lt;93, "Progressing", N39&lt;107.5, "At Level", N39&lt;120.5, "Achieving", N39&gt;120.5, "Excelling")</f>
        <v>Beginning</v>
      </c>
      <c r="Q39" s="149" t="str" cm="1">
        <f t="array" ref="Q39">_xlfn.IFS(N39&lt;76.5, "Beginning", N39&lt;91.5, "Progressing", N39&lt;107, "At Level", N39&lt;121, "Achieving", N39&gt;121, "Excelling")</f>
        <v>Progressing</v>
      </c>
      <c r="R39" s="148" t="str" cm="1">
        <f t="array" ref="R39">_xlfn.IFS(N39&lt;80.5, "Beginning", N39&lt;93.5, "Progressing", N39&lt;107, "At Level", N39&lt;123, "Achieving", N39&gt;123, "Excelling")</f>
        <v>Beginning</v>
      </c>
      <c r="U39" s="136"/>
      <c r="AH39" s="135"/>
      <c r="AI39" s="136"/>
      <c r="AV39" s="135"/>
    </row>
    <row r="40" spans="1:48" ht="13.8" x14ac:dyDescent="0.25">
      <c r="A40" s="157"/>
      <c r="B40" s="108"/>
      <c r="C40" s="217"/>
      <c r="D40" s="153" t="str" cm="1">
        <f t="array" ref="D40">_xlfn.IFS(B40=6, "33.5", B40=7, "31.4", B40=8, "28.6", B40=9, "26.6", ISBLANK(B40), "0")</f>
        <v>0</v>
      </c>
      <c r="E40" s="158" t="e">
        <f t="shared" si="3"/>
        <v>#DIV/0!</v>
      </c>
      <c r="F40" s="151" t="e" cm="1">
        <f t="array" ref="F40">_xlfn.IFS(E40&lt;81.5, "Beginning", E40&lt;95, "Progressing", E40&lt;107.5, "At Level", E40&lt;122.5, "Achieving", E40&gt;122.5, "Excelling")</f>
        <v>#DIV/0!</v>
      </c>
      <c r="G40" s="150" t="e" cm="1">
        <f t="array" ref="G40">_xlfn.IFS(E40&lt;80.5, "Beginning", E40&lt;93.5, "Progressing", E40&lt;108, "At Level", E40&lt;122.5, "Achieving", E40&gt;122.5, "Excelling")</f>
        <v>#DIV/0!</v>
      </c>
      <c r="H40" s="149" t="e" cm="1">
        <f t="array" ref="H40">_xlfn.IFS(E40&lt;81, "Beginning", E40&lt;93, "Progressing", E40&lt;108, "At Level", E40&lt;123, "Achieving", E40&gt;123, "Excelling")</f>
        <v>#DIV/0!</v>
      </c>
      <c r="I40" s="148" t="e" cm="1">
        <f t="array" ref="I40">_xlfn.IFS(E40&lt;82, "Beginning", E40&lt;94, "Progressing", E40&lt;106.5, "At Level", E40&lt;119.5, "Achieving", E40&gt;119.5, "Excelling")</f>
        <v>#DIV/0!</v>
      </c>
      <c r="J40" s="157" t="str">
        <v>Student</v>
      </c>
      <c r="K40" s="108">
        <v>9</v>
      </c>
      <c r="L40" s="217">
        <v>12</v>
      </c>
      <c r="M40" s="153" t="str" cm="1">
        <f t="array" ref="M40">_xlfn.IFS(K40=9, "26.1", K40=10, "26.5", K40=11, "25.5", K40=12, "24.5", ISBLANK(K40), "0")</f>
        <v>26.1</v>
      </c>
      <c r="N40" s="156">
        <f t="shared" si="4"/>
        <v>217.50000000000003</v>
      </c>
      <c r="O40" s="151" t="str" cm="1">
        <f t="array" ref="O40">_xlfn.IFS(N40&lt;80, "Beginning", N40&lt;93, "Progressing", N40&lt;106.5, "At Level", N40&lt;121.5, "Achieving", N40&gt;121.5, "Excelling")</f>
        <v>Excelling</v>
      </c>
      <c r="P40" s="150" t="str" cm="1">
        <f t="array" ref="P40">_xlfn.IFS(N40&lt;80, "Beginning", N40&lt;93, "Progressing", N40&lt;107.5, "At Level", N40&lt;120.5, "Achieving", N40&gt;120.5, "Excelling")</f>
        <v>Excelling</v>
      </c>
      <c r="Q40" s="149" t="str" cm="1">
        <f t="array" ref="Q40">_xlfn.IFS(N40&lt;76.5, "Beginning", N40&lt;91.5, "Progressing", N40&lt;107, "At Level", N40&lt;121, "Achieving", N40&gt;121, "Excelling")</f>
        <v>Excelling</v>
      </c>
      <c r="R40" s="148" t="str" cm="1">
        <f t="array" ref="R40">_xlfn.IFS(N40&lt;80.5, "Beginning", N40&lt;93.5, "Progressing", N40&lt;107, "At Level", N40&lt;123, "Achieving", N40&gt;123, "Excelling")</f>
        <v>Excelling</v>
      </c>
      <c r="U40" s="136"/>
      <c r="AH40" s="135"/>
      <c r="AI40" s="136"/>
      <c r="AV40" s="135"/>
    </row>
    <row r="41" spans="1:48" ht="13.8" x14ac:dyDescent="0.25">
      <c r="A41" s="157"/>
      <c r="B41" s="108"/>
      <c r="C41" s="217"/>
      <c r="D41" s="153" t="str" cm="1">
        <f t="array" ref="D41">_xlfn.IFS(B41=6, "33.5", B41=7, "31.4", B41=8, "28.6", B41=9, "26.6", ISBLANK(B41), "0")</f>
        <v>0</v>
      </c>
      <c r="E41" s="158" t="e">
        <f t="shared" si="3"/>
        <v>#DIV/0!</v>
      </c>
      <c r="F41" s="151" t="e" cm="1">
        <f t="array" ref="F41">_xlfn.IFS(E41&lt;81.5, "Beginning", E41&lt;95, "Progressing", E41&lt;107.5, "At Level", E41&lt;122.5, "Achieving", E41&gt;122.5, "Excelling")</f>
        <v>#DIV/0!</v>
      </c>
      <c r="G41" s="150" t="e" cm="1">
        <f t="array" ref="G41">_xlfn.IFS(E41&lt;80.5, "Beginning", E41&lt;93.5, "Progressing", E41&lt;108, "At Level", E41&lt;122.5, "Achieving", E41&gt;122.5, "Excelling")</f>
        <v>#DIV/0!</v>
      </c>
      <c r="H41" s="149" t="e" cm="1">
        <f t="array" ref="H41">_xlfn.IFS(E41&lt;81, "Beginning", E41&lt;93, "Progressing", E41&lt;108, "At Level", E41&lt;123, "Achieving", E41&gt;123, "Excelling")</f>
        <v>#DIV/0!</v>
      </c>
      <c r="I41" s="148" t="e" cm="1">
        <f t="array" ref="I41">_xlfn.IFS(E41&lt;82, "Beginning", E41&lt;94, "Progressing", E41&lt;106.5, "At Level", E41&lt;119.5, "Achieving", E41&gt;119.5, "Excelling")</f>
        <v>#DIV/0!</v>
      </c>
      <c r="J41" s="157"/>
      <c r="K41" s="108"/>
      <c r="L41" s="217"/>
      <c r="M41" s="153" t="str" cm="1">
        <f t="array" ref="M41">_xlfn.IFS(K41=9, "26.1", K41=10, "26.5", K41=11, "25.5", K41=12, "24.5", ISBLANK(K41), "0")</f>
        <v>0</v>
      </c>
      <c r="N41" s="156" t="e">
        <f t="shared" si="4"/>
        <v>#DIV/0!</v>
      </c>
      <c r="O41" s="151" t="e" cm="1">
        <f t="array" ref="O41">_xlfn.IFS(N41&lt;80, "Beginning", N41&lt;93, "Progressing", N41&lt;106.5, "At Level", N41&lt;121.5, "Achieving", N41&gt;121.5, "Excelling")</f>
        <v>#DIV/0!</v>
      </c>
      <c r="P41" s="150" t="e" cm="1">
        <f t="array" ref="P41">_xlfn.IFS(N41&lt;80, "Beginning", N41&lt;93, "Progressing", N41&lt;107.5, "At Level", N41&lt;120.5, "Achieving", N41&gt;120.5, "Excelling")</f>
        <v>#DIV/0!</v>
      </c>
      <c r="Q41" s="149" t="e" cm="1">
        <f t="array" ref="Q41">_xlfn.IFS(N41&lt;76.5, "Beginning", N41&lt;91.5, "Progressing", N41&lt;107, "At Level", N41&lt;121, "Achieving", N41&gt;121, "Excelling")</f>
        <v>#DIV/0!</v>
      </c>
      <c r="R41" s="148" t="e" cm="1">
        <f t="array" ref="R41">_xlfn.IFS(N41&lt;80.5, "Beginning", N41&lt;93.5, "Progressing", N41&lt;107, "At Level", N41&lt;123, "Achieving", N41&gt;123, "Excelling")</f>
        <v>#DIV/0!</v>
      </c>
      <c r="U41" s="136"/>
      <c r="AH41" s="135"/>
      <c r="AI41" s="136"/>
      <c r="AV41" s="135"/>
    </row>
    <row r="42" spans="1:48" ht="13.8" x14ac:dyDescent="0.25">
      <c r="A42" s="157"/>
      <c r="B42" s="108"/>
      <c r="C42" s="217"/>
      <c r="D42" s="153" t="str" cm="1">
        <f t="array" ref="D42">_xlfn.IFS(B42=6, "33.5", B42=7, "31.4", B42=8, "28.6", B42=9, "26.6", ISBLANK(B42), "0")</f>
        <v>0</v>
      </c>
      <c r="E42" s="158" t="e">
        <f t="shared" si="3"/>
        <v>#DIV/0!</v>
      </c>
      <c r="F42" s="151" t="e" cm="1">
        <f t="array" ref="F42">_xlfn.IFS(E42&lt;81.5, "Beginning", E42&lt;95, "Progressing", E42&lt;107.5, "At Level", E42&lt;122.5, "Achieving", E42&gt;122.5, "Excelling")</f>
        <v>#DIV/0!</v>
      </c>
      <c r="G42" s="150" t="e" cm="1">
        <f t="array" ref="G42">_xlfn.IFS(E42&lt;80.5, "Beginning", E42&lt;93.5, "Progressing", E42&lt;108, "At Level", E42&lt;122.5, "Achieving", E42&gt;122.5, "Excelling")</f>
        <v>#DIV/0!</v>
      </c>
      <c r="H42" s="149" t="e" cm="1">
        <f t="array" ref="H42">_xlfn.IFS(E42&lt;81, "Beginning", E42&lt;93, "Progressing", E42&lt;108, "At Level", E42&lt;123, "Achieving", E42&gt;123, "Excelling")</f>
        <v>#DIV/0!</v>
      </c>
      <c r="I42" s="148" t="e" cm="1">
        <f t="array" ref="I42">_xlfn.IFS(E42&lt;82, "Beginning", E42&lt;94, "Progressing", E42&lt;106.5, "At Level", E42&lt;119.5, "Achieving", E42&gt;119.5, "Excelling")</f>
        <v>#DIV/0!</v>
      </c>
      <c r="J42" s="157"/>
      <c r="K42" s="108"/>
      <c r="L42" s="217"/>
      <c r="M42" s="153" t="str" cm="1">
        <f t="array" ref="M42">_xlfn.IFS(K42=9, "26.1", K42=10, "26.5", K42=11, "25.5", K42=12, "24.5", ISBLANK(K42), "0")</f>
        <v>0</v>
      </c>
      <c r="N42" s="156" t="e">
        <f t="shared" si="4"/>
        <v>#DIV/0!</v>
      </c>
      <c r="O42" s="151" t="e" cm="1">
        <f t="array" ref="O42">_xlfn.IFS(N42&lt;80, "Beginning", N42&lt;93, "Progressing", N42&lt;106.5, "At Level", N42&lt;121.5, "Achieving", N42&gt;121.5, "Excelling")</f>
        <v>#DIV/0!</v>
      </c>
      <c r="P42" s="150" t="e" cm="1">
        <f t="array" ref="P42">_xlfn.IFS(N42&lt;80, "Beginning", N42&lt;93, "Progressing", N42&lt;107.5, "At Level", N42&lt;120.5, "Achieving", N42&gt;120.5, "Excelling")</f>
        <v>#DIV/0!</v>
      </c>
      <c r="Q42" s="149" t="e" cm="1">
        <f t="array" ref="Q42">_xlfn.IFS(N42&lt;76.5, "Beginning", N42&lt;91.5, "Progressing", N42&lt;107, "At Level", N42&lt;121, "Achieving", N42&gt;121, "Excelling")</f>
        <v>#DIV/0!</v>
      </c>
      <c r="R42" s="148" t="e" cm="1">
        <f t="array" ref="R42">_xlfn.IFS(N42&lt;80.5, "Beginning", N42&lt;93.5, "Progressing", N42&lt;107, "At Level", N42&lt;123, "Achieving", N42&gt;123, "Excelling")</f>
        <v>#DIV/0!</v>
      </c>
      <c r="U42" s="136"/>
      <c r="AH42" s="135"/>
      <c r="AI42" s="136"/>
      <c r="AV42" s="135"/>
    </row>
    <row r="43" spans="1:48" ht="13.8" x14ac:dyDescent="0.25">
      <c r="A43" s="157"/>
      <c r="B43" s="108"/>
      <c r="C43" s="217"/>
      <c r="D43" s="153" t="str" cm="1">
        <f t="array" ref="D43">_xlfn.IFS(B43=6, "33.5", B43=7, "31.4", B43=8, "28.6", B43=9, "26.6", ISBLANK(B43), "0")</f>
        <v>0</v>
      </c>
      <c r="E43" s="158" t="e">
        <f t="shared" si="3"/>
        <v>#DIV/0!</v>
      </c>
      <c r="F43" s="151" t="e" cm="1">
        <f t="array" ref="F43">_xlfn.IFS(E43&lt;81.5, "Beginning", E43&lt;95, "Progressing", E43&lt;107.5, "At Level", E43&lt;122.5, "Achieving", E43&gt;122.5, "Excelling")</f>
        <v>#DIV/0!</v>
      </c>
      <c r="G43" s="150" t="e" cm="1">
        <f t="array" ref="G43">_xlfn.IFS(E43&lt;80.5, "Beginning", E43&lt;93.5, "Progressing", E43&lt;108, "At Level", E43&lt;122.5, "Achieving", E43&gt;122.5, "Excelling")</f>
        <v>#DIV/0!</v>
      </c>
      <c r="H43" s="149" t="e" cm="1">
        <f t="array" ref="H43">_xlfn.IFS(E43&lt;81, "Beginning", E43&lt;93, "Progressing", E43&lt;108, "At Level", E43&lt;123, "Achieving", E43&gt;123, "Excelling")</f>
        <v>#DIV/0!</v>
      </c>
      <c r="I43" s="148" t="e" cm="1">
        <f t="array" ref="I43">_xlfn.IFS(E43&lt;82, "Beginning", E43&lt;94, "Progressing", E43&lt;106.5, "At Level", E43&lt;119.5, "Achieving", E43&gt;119.5, "Excelling")</f>
        <v>#DIV/0!</v>
      </c>
      <c r="J43" s="157"/>
      <c r="K43" s="108"/>
      <c r="L43" s="217"/>
      <c r="M43" s="153" t="str" cm="1">
        <f t="array" ref="M43">_xlfn.IFS(K43=9, "26.1", K43=10, "26.5", K43=11, "25.5", K43=12, "24.5", ISBLANK(K43), "0")</f>
        <v>0</v>
      </c>
      <c r="N43" s="156" t="e">
        <f t="shared" si="4"/>
        <v>#DIV/0!</v>
      </c>
      <c r="O43" s="151" t="e" cm="1">
        <f t="array" ref="O43">_xlfn.IFS(N43&lt;80, "Beginning", N43&lt;93, "Progressing", N43&lt;106.5, "At Level", N43&lt;121.5, "Achieving", N43&gt;121.5, "Excelling")</f>
        <v>#DIV/0!</v>
      </c>
      <c r="P43" s="150" t="e" cm="1">
        <f t="array" ref="P43">_xlfn.IFS(N43&lt;80, "Beginning", N43&lt;93, "Progressing", N43&lt;107.5, "At Level", N43&lt;120.5, "Achieving", N43&gt;120.5, "Excelling")</f>
        <v>#DIV/0!</v>
      </c>
      <c r="Q43" s="149" t="e" cm="1">
        <f t="array" ref="Q43">_xlfn.IFS(N43&lt;76.5, "Beginning", N43&lt;91.5, "Progressing", N43&lt;107, "At Level", N43&lt;121, "Achieving", N43&gt;121, "Excelling")</f>
        <v>#DIV/0!</v>
      </c>
      <c r="R43" s="148" t="e" cm="1">
        <f t="array" ref="R43">_xlfn.IFS(N43&lt;80.5, "Beginning", N43&lt;93.5, "Progressing", N43&lt;107, "At Level", N43&lt;123, "Achieving", N43&gt;123, "Excelling")</f>
        <v>#DIV/0!</v>
      </c>
      <c r="U43" s="136"/>
      <c r="AH43" s="135"/>
      <c r="AI43" s="136"/>
      <c r="AV43" s="135"/>
    </row>
    <row r="44" spans="1:48" ht="13.8" x14ac:dyDescent="0.25">
      <c r="A44" s="157"/>
      <c r="B44" s="108"/>
      <c r="C44" s="217"/>
      <c r="D44" s="153" t="str" cm="1">
        <f t="array" ref="D44">_xlfn.IFS(B44=6, "33.5", B44=7, "31.4", B44=8, "28.6", B44=9, "26.6", ISBLANK(B44), "0")</f>
        <v>0</v>
      </c>
      <c r="E44" s="158" t="e">
        <f t="shared" si="3"/>
        <v>#DIV/0!</v>
      </c>
      <c r="F44" s="151" t="e" cm="1">
        <f t="array" ref="F44">_xlfn.IFS(E44&lt;81.5, "Beginning", E44&lt;95, "Progressing", E44&lt;107.5, "At Level", E44&lt;122.5, "Achieving", E44&gt;122.5, "Excelling")</f>
        <v>#DIV/0!</v>
      </c>
      <c r="G44" s="150" t="e" cm="1">
        <f t="array" ref="G44">_xlfn.IFS(E44&lt;80.5, "Beginning", E44&lt;93.5, "Progressing", E44&lt;108, "At Level", E44&lt;122.5, "Achieving", E44&gt;122.5, "Excelling")</f>
        <v>#DIV/0!</v>
      </c>
      <c r="H44" s="149" t="e" cm="1">
        <f t="array" ref="H44">_xlfn.IFS(E44&lt;81, "Beginning", E44&lt;93, "Progressing", E44&lt;108, "At Level", E44&lt;123, "Achieving", E44&gt;123, "Excelling")</f>
        <v>#DIV/0!</v>
      </c>
      <c r="I44" s="148" t="e" cm="1">
        <f t="array" ref="I44">_xlfn.IFS(E44&lt;82, "Beginning", E44&lt;94, "Progressing", E44&lt;106.5, "At Level", E44&lt;119.5, "Achieving", E44&gt;119.5, "Excelling")</f>
        <v>#DIV/0!</v>
      </c>
      <c r="J44" s="157"/>
      <c r="K44" s="108"/>
      <c r="L44" s="217"/>
      <c r="M44" s="153" t="str" cm="1">
        <f t="array" ref="M44">_xlfn.IFS(K44=9, "26.1", K44=10, "26.5", K44=11, "25.5", K44=12, "24.5", ISBLANK(K44), "0")</f>
        <v>0</v>
      </c>
      <c r="N44" s="156" t="e">
        <f t="shared" si="4"/>
        <v>#DIV/0!</v>
      </c>
      <c r="O44" s="151" t="e" cm="1">
        <f t="array" ref="O44">_xlfn.IFS(N44&lt;80, "Beginning", N44&lt;93, "Progressing", N44&lt;106.5, "At Level", N44&lt;121.5, "Achieving", N44&gt;121.5, "Excelling")</f>
        <v>#DIV/0!</v>
      </c>
      <c r="P44" s="150" t="e" cm="1">
        <f t="array" ref="P44">_xlfn.IFS(N44&lt;80, "Beginning", N44&lt;93, "Progressing", N44&lt;107.5, "At Level", N44&lt;120.5, "Achieving", N44&gt;120.5, "Excelling")</f>
        <v>#DIV/0!</v>
      </c>
      <c r="Q44" s="149" t="e" cm="1">
        <f t="array" ref="Q44">_xlfn.IFS(N44&lt;76.5, "Beginning", N44&lt;91.5, "Progressing", N44&lt;107, "At Level", N44&lt;121, "Achieving", N44&gt;121, "Excelling")</f>
        <v>#DIV/0!</v>
      </c>
      <c r="R44" s="148" t="e" cm="1">
        <f t="array" ref="R44">_xlfn.IFS(N44&lt;80.5, "Beginning", N44&lt;93.5, "Progressing", N44&lt;107, "At Level", N44&lt;123, "Achieving", N44&gt;123, "Excelling")</f>
        <v>#DIV/0!</v>
      </c>
      <c r="U44" s="136"/>
      <c r="AH44" s="135"/>
      <c r="AI44" s="136"/>
      <c r="AV44" s="135"/>
    </row>
    <row r="45" spans="1:48" ht="13.8" x14ac:dyDescent="0.25">
      <c r="A45" s="157"/>
      <c r="B45" s="108"/>
      <c r="C45" s="217"/>
      <c r="D45" s="153" t="str" cm="1">
        <f t="array" ref="D45">_xlfn.IFS(B45=6, "33.5", B45=7, "31.4", B45=8, "28.6", B45=9, "26.6", ISBLANK(B45), "0")</f>
        <v>0</v>
      </c>
      <c r="E45" s="158" t="e">
        <f t="shared" si="3"/>
        <v>#DIV/0!</v>
      </c>
      <c r="F45" s="151" t="e" cm="1">
        <f t="array" ref="F45">_xlfn.IFS(E45&lt;81.5, "Beginning", E45&lt;95, "Progressing", E45&lt;107.5, "At Level", E45&lt;122.5, "Achieving", E45&gt;122.5, "Excelling")</f>
        <v>#DIV/0!</v>
      </c>
      <c r="G45" s="150" t="e" cm="1">
        <f t="array" ref="G45">_xlfn.IFS(E45&lt;80.5, "Beginning", E45&lt;93.5, "Progressing", E45&lt;108, "At Level", E45&lt;122.5, "Achieving", E45&gt;122.5, "Excelling")</f>
        <v>#DIV/0!</v>
      </c>
      <c r="H45" s="149" t="e" cm="1">
        <f t="array" ref="H45">_xlfn.IFS(E45&lt;81, "Beginning", E45&lt;93, "Progressing", E45&lt;108, "At Level", E45&lt;123, "Achieving", E45&gt;123, "Excelling")</f>
        <v>#DIV/0!</v>
      </c>
      <c r="I45" s="148" t="e" cm="1">
        <f t="array" ref="I45">_xlfn.IFS(E45&lt;82, "Beginning", E45&lt;94, "Progressing", E45&lt;106.5, "At Level", E45&lt;119.5, "Achieving", E45&gt;119.5, "Excelling")</f>
        <v>#DIV/0!</v>
      </c>
      <c r="J45" s="157"/>
      <c r="K45" s="108"/>
      <c r="L45" s="217"/>
      <c r="M45" s="153" t="str" cm="1">
        <f t="array" ref="M45">_xlfn.IFS(K45=9, "26.1", K45=10, "26.5", K45=11, "25.5", K45=12, "24.5", ISBLANK(K45), "0")</f>
        <v>0</v>
      </c>
      <c r="N45" s="156" t="e">
        <f t="shared" si="4"/>
        <v>#DIV/0!</v>
      </c>
      <c r="O45" s="151" t="e" cm="1">
        <f t="array" ref="O45">_xlfn.IFS(N45&lt;80, "Beginning", N45&lt;93, "Progressing", N45&lt;106.5, "At Level", N45&lt;121.5, "Achieving", N45&gt;121.5, "Excelling")</f>
        <v>#DIV/0!</v>
      </c>
      <c r="P45" s="150" t="e" cm="1">
        <f t="array" ref="P45">_xlfn.IFS(N45&lt;80, "Beginning", N45&lt;93, "Progressing", N45&lt;107.5, "At Level", N45&lt;120.5, "Achieving", N45&gt;120.5, "Excelling")</f>
        <v>#DIV/0!</v>
      </c>
      <c r="Q45" s="149" t="e" cm="1">
        <f t="array" ref="Q45">_xlfn.IFS(N45&lt;76.5, "Beginning", N45&lt;91.5, "Progressing", N45&lt;107, "At Level", N45&lt;121, "Achieving", N45&gt;121, "Excelling")</f>
        <v>#DIV/0!</v>
      </c>
      <c r="R45" s="148" t="e" cm="1">
        <f t="array" ref="R45">_xlfn.IFS(N45&lt;80.5, "Beginning", N45&lt;93.5, "Progressing", N45&lt;107, "At Level", N45&lt;123, "Achieving", N45&gt;123, "Excelling")</f>
        <v>#DIV/0!</v>
      </c>
      <c r="U45" s="136"/>
      <c r="AH45" s="135"/>
      <c r="AI45" s="136"/>
      <c r="AV45" s="135"/>
    </row>
    <row r="46" spans="1:48" ht="13.8" x14ac:dyDescent="0.25">
      <c r="A46" s="157"/>
      <c r="B46" s="108"/>
      <c r="C46" s="217"/>
      <c r="D46" s="153" t="str" cm="1">
        <f t="array" ref="D46">_xlfn.IFS(B46=6, "33.5", B46=7, "31.4", B46=8, "28.6", B46=9, "26.6", ISBLANK(B46), "0")</f>
        <v>0</v>
      </c>
      <c r="E46" s="158" t="e">
        <f t="shared" si="3"/>
        <v>#DIV/0!</v>
      </c>
      <c r="F46" s="151" t="e" cm="1">
        <f t="array" ref="F46">_xlfn.IFS(E46&lt;81.5, "Beginning", E46&lt;95, "Progressing", E46&lt;107.5, "At Level", E46&lt;122.5, "Achieving", E46&gt;122.5, "Excelling")</f>
        <v>#DIV/0!</v>
      </c>
      <c r="G46" s="150" t="e" cm="1">
        <f t="array" ref="G46">_xlfn.IFS(E46&lt;80.5, "Beginning", E46&lt;93.5, "Progressing", E46&lt;108, "At Level", E46&lt;122.5, "Achieving", E46&gt;122.5, "Excelling")</f>
        <v>#DIV/0!</v>
      </c>
      <c r="H46" s="149" t="e" cm="1">
        <f t="array" ref="H46">_xlfn.IFS(E46&lt;81, "Beginning", E46&lt;93, "Progressing", E46&lt;108, "At Level", E46&lt;123, "Achieving", E46&gt;123, "Excelling")</f>
        <v>#DIV/0!</v>
      </c>
      <c r="I46" s="148" t="e" cm="1">
        <f t="array" ref="I46">_xlfn.IFS(E46&lt;82, "Beginning", E46&lt;94, "Progressing", E46&lt;106.5, "At Level", E46&lt;119.5, "Achieving", E46&gt;119.5, "Excelling")</f>
        <v>#DIV/0!</v>
      </c>
      <c r="J46" s="157"/>
      <c r="K46" s="108"/>
      <c r="L46" s="217"/>
      <c r="M46" s="153" t="str" cm="1">
        <f t="array" ref="M46">_xlfn.IFS(K46=9, "26.1", K46=10, "26.5", K46=11, "25.5", K46=12, "24.5", ISBLANK(K46), "0")</f>
        <v>0</v>
      </c>
      <c r="N46" s="156" t="e">
        <f t="shared" si="4"/>
        <v>#DIV/0!</v>
      </c>
      <c r="O46" s="151" t="e" cm="1">
        <f t="array" ref="O46">_xlfn.IFS(N46&lt;80, "Beginning", N46&lt;93, "Progressing", N46&lt;106.5, "At Level", N46&lt;121.5, "Achieving", N46&gt;121.5, "Excelling")</f>
        <v>#DIV/0!</v>
      </c>
      <c r="P46" s="150" t="e" cm="1">
        <f t="array" ref="P46">_xlfn.IFS(N46&lt;80, "Beginning", N46&lt;93, "Progressing", N46&lt;107.5, "At Level", N46&lt;120.5, "Achieving", N46&gt;120.5, "Excelling")</f>
        <v>#DIV/0!</v>
      </c>
      <c r="Q46" s="149" t="e" cm="1">
        <f t="array" ref="Q46">_xlfn.IFS(N46&lt;76.5, "Beginning", N46&lt;91.5, "Progressing", N46&lt;107, "At Level", N46&lt;121, "Achieving", N46&gt;121, "Excelling")</f>
        <v>#DIV/0!</v>
      </c>
      <c r="R46" s="148" t="e" cm="1">
        <f t="array" ref="R46">_xlfn.IFS(N46&lt;80.5, "Beginning", N46&lt;93.5, "Progressing", N46&lt;107, "At Level", N46&lt;123, "Achieving", N46&gt;123, "Excelling")</f>
        <v>#DIV/0!</v>
      </c>
      <c r="U46" s="136"/>
      <c r="AH46" s="135"/>
      <c r="AI46" s="136"/>
      <c r="AV46" s="135"/>
    </row>
    <row r="47" spans="1:48" ht="13.8" x14ac:dyDescent="0.25">
      <c r="A47" s="157"/>
      <c r="B47" s="108"/>
      <c r="C47" s="217"/>
      <c r="D47" s="153" t="str" cm="1">
        <f t="array" ref="D47">_xlfn.IFS(B47=6, "33.5", B47=7, "31.4", B47=8, "28.6", B47=9, "26.6", ISBLANK(B47), "0")</f>
        <v>0</v>
      </c>
      <c r="E47" s="158" t="e">
        <f t="shared" si="3"/>
        <v>#DIV/0!</v>
      </c>
      <c r="F47" s="151" t="e" cm="1">
        <f t="array" ref="F47">_xlfn.IFS(E47&lt;81.5, "Beginning", E47&lt;95, "Progressing", E47&lt;107.5, "At Level", E47&lt;122.5, "Achieving", E47&gt;122.5, "Excelling")</f>
        <v>#DIV/0!</v>
      </c>
      <c r="G47" s="150" t="e" cm="1">
        <f t="array" ref="G47">_xlfn.IFS(E47&lt;80.5, "Beginning", E47&lt;93.5, "Progressing", E47&lt;108, "At Level", E47&lt;122.5, "Achieving", E47&gt;122.5, "Excelling")</f>
        <v>#DIV/0!</v>
      </c>
      <c r="H47" s="149" t="e" cm="1">
        <f t="array" ref="H47">_xlfn.IFS(E47&lt;81, "Beginning", E47&lt;93, "Progressing", E47&lt;108, "At Level", E47&lt;123, "Achieving", E47&gt;123, "Excelling")</f>
        <v>#DIV/0!</v>
      </c>
      <c r="I47" s="148" t="e" cm="1">
        <f t="array" ref="I47">_xlfn.IFS(E47&lt;82, "Beginning", E47&lt;94, "Progressing", E47&lt;106.5, "At Level", E47&lt;119.5, "Achieving", E47&gt;119.5, "Excelling")</f>
        <v>#DIV/0!</v>
      </c>
      <c r="J47" s="157"/>
      <c r="K47" s="108"/>
      <c r="L47" s="217"/>
      <c r="M47" s="153" t="str" cm="1">
        <f t="array" ref="M47">_xlfn.IFS(K47=9, "26.1", K47=10, "26.5", K47=11, "25.5", K47=12, "24.5", ISBLANK(K47), "0")</f>
        <v>0</v>
      </c>
      <c r="N47" s="156" t="e">
        <f t="shared" si="4"/>
        <v>#DIV/0!</v>
      </c>
      <c r="O47" s="151" t="e" cm="1">
        <f t="array" ref="O47">_xlfn.IFS(N47&lt;80, "Beginning", N47&lt;93, "Progressing", N47&lt;106.5, "At Level", N47&lt;121.5, "Achieving", N47&gt;121.5, "Excelling")</f>
        <v>#DIV/0!</v>
      </c>
      <c r="P47" s="150" t="e" cm="1">
        <f t="array" ref="P47">_xlfn.IFS(N47&lt;80, "Beginning", N47&lt;93, "Progressing", N47&lt;107.5, "At Level", N47&lt;120.5, "Achieving", N47&gt;120.5, "Excelling")</f>
        <v>#DIV/0!</v>
      </c>
      <c r="Q47" s="149" t="e" cm="1">
        <f t="array" ref="Q47">_xlfn.IFS(N47&lt;76.5, "Beginning", N47&lt;91.5, "Progressing", N47&lt;107, "At Level", N47&lt;121, "Achieving", N47&gt;121, "Excelling")</f>
        <v>#DIV/0!</v>
      </c>
      <c r="R47" s="148" t="e" cm="1">
        <f t="array" ref="R47">_xlfn.IFS(N47&lt;80.5, "Beginning", N47&lt;93.5, "Progressing", N47&lt;107, "At Level", N47&lt;123, "Achieving", N47&gt;123, "Excelling")</f>
        <v>#DIV/0!</v>
      </c>
      <c r="U47" s="136"/>
      <c r="AH47" s="135"/>
      <c r="AI47" s="136"/>
      <c r="AV47" s="135"/>
    </row>
    <row r="48" spans="1:48" ht="13.8" x14ac:dyDescent="0.25">
      <c r="A48" s="154"/>
      <c r="B48" s="108"/>
      <c r="C48" s="217"/>
      <c r="D48" s="153" t="str" cm="1">
        <f t="array" ref="D48">_xlfn.IFS(B48=6, "33.5", B48=7, "31.4", B48=8, "28.6", B48=9, "26.6", ISBLANK(B48), "0")</f>
        <v>0</v>
      </c>
      <c r="E48" s="155" t="e">
        <f t="shared" si="3"/>
        <v>#DIV/0!</v>
      </c>
      <c r="F48" s="151" t="e" cm="1">
        <f t="array" ref="F48">_xlfn.IFS(E48&lt;81.5, "Beginning", E48&lt;95, "Progressing", E48&lt;107.5, "At Level", E48&lt;122.5, "Achieving", E48&gt;122.5, "Excelling")</f>
        <v>#DIV/0!</v>
      </c>
      <c r="G48" s="150" t="e" cm="1">
        <f t="array" ref="G48">_xlfn.IFS(E48&lt;80.5, "Beginning", E48&lt;93.5, "Progressing", E48&lt;108, "At Level", E48&lt;122.5, "Achieving", E48&gt;122.5, "Excelling")</f>
        <v>#DIV/0!</v>
      </c>
      <c r="H48" s="149" t="e" cm="1">
        <f t="array" ref="H48">_xlfn.IFS(E48&lt;81, "Beginning", E48&lt;93, "Progressing", E48&lt;108, "At Level", E48&lt;123, "Achieving", E48&gt;123, "Excelling")</f>
        <v>#DIV/0!</v>
      </c>
      <c r="I48" s="148" t="e" cm="1">
        <f t="array" ref="I48">_xlfn.IFS(E48&lt;82, "Beginning", E48&lt;94, "Progressing", E48&lt;106.5, "At Level", E48&lt;119.5, "Achieving", E48&gt;119.5, "Excelling")</f>
        <v>#DIV/0!</v>
      </c>
      <c r="J48" s="154"/>
      <c r="K48" s="108"/>
      <c r="L48" s="217"/>
      <c r="M48" s="153" t="str" cm="1">
        <f t="array" ref="M48">_xlfn.IFS(K48=9, "26.1", K48=10, "26.5", K48=11, "25.5", K48=12, "24.5", ISBLANK(K48), "0")</f>
        <v>0</v>
      </c>
      <c r="N48" s="152" t="e">
        <f t="shared" si="4"/>
        <v>#DIV/0!</v>
      </c>
      <c r="O48" s="151" t="e" cm="1">
        <f t="array" ref="O48">_xlfn.IFS(N48&lt;80, "Beginning", N48&lt;93, "Progressing", N48&lt;106.5, "At Level", N48&lt;121.5, "Achieving", N48&gt;121.5, "Excelling")</f>
        <v>#DIV/0!</v>
      </c>
      <c r="P48" s="150" t="e" cm="1">
        <f t="array" ref="P48">_xlfn.IFS(N48&lt;80, "Beginning", N48&lt;93, "Progressing", N48&lt;107.5, "At Level", N48&lt;120.5, "Achieving", N48&gt;120.5, "Excelling")</f>
        <v>#DIV/0!</v>
      </c>
      <c r="Q48" s="149" t="e" cm="1">
        <f t="array" ref="Q48">_xlfn.IFS(N48&lt;76.5, "Beginning", N48&lt;91.5, "Progressing", N48&lt;107, "At Level", N48&lt;121, "Achieving", N48&gt;121, "Excelling")</f>
        <v>#DIV/0!</v>
      </c>
      <c r="R48" s="148" t="e" cm="1">
        <f t="array" ref="R48">_xlfn.IFS(N48&lt;80.5, "Beginning", N48&lt;93.5, "Progressing", N48&lt;107, "At Level", N48&lt;123, "Achieving", N48&gt;123, "Excelling")</f>
        <v>#DIV/0!</v>
      </c>
      <c r="U48" s="136"/>
      <c r="AH48" s="135"/>
      <c r="AI48" s="136"/>
      <c r="AV48" s="135"/>
    </row>
    <row r="49" spans="1:48" ht="13.8" thickBot="1" x14ac:dyDescent="0.3">
      <c r="U49" s="136"/>
      <c r="AH49" s="135"/>
      <c r="AI49" s="136"/>
      <c r="AV49" s="135"/>
    </row>
    <row r="50" spans="1:48" ht="13.8" thickTop="1" x14ac:dyDescent="0.25">
      <c r="A50" s="429"/>
      <c r="B50" s="419"/>
      <c r="C50" s="419"/>
      <c r="E50" s="147" t="s">
        <v>34</v>
      </c>
      <c r="F50" s="146" t="s">
        <v>195</v>
      </c>
      <c r="G50" s="146" t="s">
        <v>194</v>
      </c>
      <c r="H50" s="146" t="s">
        <v>193</v>
      </c>
      <c r="I50" s="145" t="s">
        <v>192</v>
      </c>
      <c r="J50" s="429"/>
      <c r="K50" s="419"/>
      <c r="L50" s="419"/>
      <c r="N50" s="144" t="s">
        <v>34</v>
      </c>
      <c r="O50" s="143" t="s">
        <v>191</v>
      </c>
      <c r="P50" s="143" t="s">
        <v>190</v>
      </c>
      <c r="Q50" s="143" t="s">
        <v>189</v>
      </c>
      <c r="R50" s="142" t="s">
        <v>188</v>
      </c>
      <c r="U50" s="136"/>
      <c r="AH50" s="135"/>
      <c r="AI50" s="136"/>
      <c r="AV50" s="135"/>
    </row>
    <row r="51" spans="1:48" x14ac:dyDescent="0.25">
      <c r="A51" s="141"/>
      <c r="B51" s="430"/>
      <c r="C51" s="419"/>
      <c r="D51" s="140"/>
      <c r="E51" s="139" t="s">
        <v>40</v>
      </c>
      <c r="F51" s="138">
        <f>COUNTIF(F$5:F$48, "Excelling")</f>
        <v>5</v>
      </c>
      <c r="G51" s="138">
        <f>COUNTIF(G$5:G$48, "Excelling")</f>
        <v>5</v>
      </c>
      <c r="H51" s="138">
        <f>COUNTIF(H$5:H$48, "Excelling")</f>
        <v>5</v>
      </c>
      <c r="I51" s="137">
        <f>COUNTIF(I$5:I$48, "Excelling")</f>
        <v>5</v>
      </c>
      <c r="J51" s="141"/>
      <c r="K51" s="430"/>
      <c r="L51" s="419"/>
      <c r="N51" s="139" t="s">
        <v>40</v>
      </c>
      <c r="O51" s="138">
        <f>COUNTIF(O$5:O$48, "Excelling")</f>
        <v>6</v>
      </c>
      <c r="P51" s="138">
        <f>COUNTIF(P$5:P$48, "Excelling")</f>
        <v>6</v>
      </c>
      <c r="Q51" s="138">
        <f>COUNTIF(Q$5:Q$48, "Excelling")</f>
        <v>6</v>
      </c>
      <c r="R51" s="137">
        <f>COUNTIF(R$5:R$48, "Excelling")</f>
        <v>6</v>
      </c>
      <c r="U51" s="136"/>
      <c r="AH51" s="135"/>
      <c r="AI51" s="136"/>
      <c r="AV51" s="135"/>
    </row>
    <row r="52" spans="1:48" ht="26.4" x14ac:dyDescent="0.25">
      <c r="A52" s="128"/>
      <c r="B52" s="418"/>
      <c r="C52" s="419"/>
      <c r="E52" s="139" t="s">
        <v>39</v>
      </c>
      <c r="F52" s="138">
        <f>COUNTIF(F$5:F$48, "Achieving")</f>
        <v>2</v>
      </c>
      <c r="G52" s="138">
        <f>COUNTIF(G$5:G$48, "Achieving")</f>
        <v>2</v>
      </c>
      <c r="H52" s="138">
        <f>COUNTIF(H$5:H$48, "Achieving")</f>
        <v>2</v>
      </c>
      <c r="I52" s="137">
        <f>COUNTIF(I$5:I$48, "Achieving")</f>
        <v>2</v>
      </c>
      <c r="J52" s="128"/>
      <c r="K52" s="418"/>
      <c r="L52" s="419"/>
      <c r="M52" s="140"/>
      <c r="N52" s="139" t="s">
        <v>39</v>
      </c>
      <c r="O52" s="138">
        <f>COUNTIF(O$5:O$48, "Achieving")</f>
        <v>2</v>
      </c>
      <c r="P52" s="138">
        <f>COUNTIF(P$5:P$48, "Achieving")</f>
        <v>2</v>
      </c>
      <c r="Q52" s="138">
        <f>COUNTIF(Q$5:Q$48, "Achieving")</f>
        <v>2</v>
      </c>
      <c r="R52" s="137">
        <f>COUNTIF(R$5:R$48, "Achieving")</f>
        <v>2</v>
      </c>
      <c r="U52" s="136"/>
      <c r="AH52" s="135"/>
      <c r="AI52" s="136"/>
      <c r="AV52" s="135"/>
    </row>
    <row r="53" spans="1:48" x14ac:dyDescent="0.25">
      <c r="A53" s="128"/>
      <c r="B53" s="418"/>
      <c r="C53" s="419"/>
      <c r="E53" s="139" t="s">
        <v>187</v>
      </c>
      <c r="F53" s="138">
        <f>COUNTIF(F$5:F$48, "At Level")</f>
        <v>0</v>
      </c>
      <c r="G53" s="138">
        <f>COUNTIF(G$5:G$48, "At Level")</f>
        <v>0</v>
      </c>
      <c r="H53" s="138">
        <f>COUNTIF(H$5:H$48, "At Level")</f>
        <v>0</v>
      </c>
      <c r="I53" s="137">
        <f>COUNTIF(I$5:I$48, "At Level")</f>
        <v>0</v>
      </c>
      <c r="J53" s="128"/>
      <c r="K53" s="418"/>
      <c r="L53" s="419"/>
      <c r="N53" s="139" t="s">
        <v>187</v>
      </c>
      <c r="O53" s="138">
        <f>COUNTIF(O$5:O$48, "At Level")</f>
        <v>5</v>
      </c>
      <c r="P53" s="138">
        <f>COUNTIF(P$5:P$48, "At Level")</f>
        <v>5</v>
      </c>
      <c r="Q53" s="138">
        <f>COUNTIF(Q$5:Q$48, "At Level")</f>
        <v>6</v>
      </c>
      <c r="R53" s="137">
        <f>COUNTIF(R$5:R$48, "At Level")</f>
        <v>5</v>
      </c>
      <c r="U53" s="136"/>
      <c r="AH53" s="135"/>
      <c r="AI53" s="136"/>
      <c r="AV53" s="135"/>
    </row>
    <row r="54" spans="1:48" ht="26.4" x14ac:dyDescent="0.25">
      <c r="A54" s="128"/>
      <c r="B54" s="418"/>
      <c r="C54" s="419"/>
      <c r="E54" s="139" t="s">
        <v>38</v>
      </c>
      <c r="F54" s="138">
        <f>COUNTIF(F$5:F$48, "Progressing")</f>
        <v>3</v>
      </c>
      <c r="G54" s="138">
        <f>COUNTIF(G$5:G$48, "Progressing")</f>
        <v>4</v>
      </c>
      <c r="H54" s="138">
        <f>COUNTIF(H$5:H$48, "Progressing")</f>
        <v>3</v>
      </c>
      <c r="I54" s="137">
        <f>COUNTIF(I$5:I$48, "Progressing")</f>
        <v>3</v>
      </c>
      <c r="J54" s="128"/>
      <c r="K54" s="418"/>
      <c r="L54" s="419"/>
      <c r="N54" s="139" t="s">
        <v>38</v>
      </c>
      <c r="O54" s="138">
        <f>COUNTIF(O$5:O$48, "Progressing")</f>
        <v>8</v>
      </c>
      <c r="P54" s="138">
        <f>COUNTIF(P$5:P$48, "Progressing")</f>
        <v>8</v>
      </c>
      <c r="Q54" s="138">
        <f>COUNTIF(Q$5:Q$48, "Progressing")</f>
        <v>10</v>
      </c>
      <c r="R54" s="137">
        <f>COUNTIF(R$5:R$48, "Progressing")</f>
        <v>8</v>
      </c>
      <c r="U54" s="136"/>
      <c r="AH54" s="135"/>
      <c r="AI54" s="136"/>
      <c r="AV54" s="135"/>
    </row>
    <row r="55" spans="1:48" ht="27" thickBot="1" x14ac:dyDescent="0.3">
      <c r="A55" s="128"/>
      <c r="B55" s="418"/>
      <c r="C55" s="419"/>
      <c r="E55" s="134" t="s">
        <v>42</v>
      </c>
      <c r="F55" s="133">
        <f>COUNTIF(F$5:F$48, "Beginning")</f>
        <v>4</v>
      </c>
      <c r="G55" s="133">
        <f>COUNTIF(G$5:G$48, "Beginning")</f>
        <v>3</v>
      </c>
      <c r="H55" s="133">
        <f>COUNTIF(H$5:H$48, "Beginning")</f>
        <v>4</v>
      </c>
      <c r="I55" s="132">
        <f>COUNTIF(I$5:I$48, "Beginning")</f>
        <v>4</v>
      </c>
      <c r="J55" s="128"/>
      <c r="K55" s="418"/>
      <c r="L55" s="419"/>
      <c r="N55" s="134" t="s">
        <v>42</v>
      </c>
      <c r="O55" s="133">
        <f>COUNTIF(O$5:O$48, "Beginning")</f>
        <v>5</v>
      </c>
      <c r="P55" s="133">
        <f>COUNTIF(P$5:P$48, "Beginning")</f>
        <v>5</v>
      </c>
      <c r="Q55" s="133">
        <f>COUNTIF(Q$5:Q$48, "Beginning")</f>
        <v>2</v>
      </c>
      <c r="R55" s="132">
        <f>COUNTIF(R$5:R$48, "Beginning")</f>
        <v>5</v>
      </c>
      <c r="U55" s="131"/>
      <c r="V55" s="130"/>
      <c r="W55" s="130"/>
      <c r="X55" s="130"/>
      <c r="Y55" s="130"/>
      <c r="Z55" s="130"/>
      <c r="AA55" s="130"/>
      <c r="AB55" s="130"/>
      <c r="AC55" s="130"/>
      <c r="AD55" s="130"/>
      <c r="AE55" s="130"/>
      <c r="AF55" s="130"/>
      <c r="AG55" s="130"/>
      <c r="AH55" s="129"/>
      <c r="AI55" s="131"/>
      <c r="AJ55" s="130"/>
      <c r="AK55" s="130"/>
      <c r="AL55" s="130"/>
      <c r="AM55" s="130"/>
      <c r="AN55" s="130"/>
      <c r="AO55" s="130"/>
      <c r="AP55" s="130"/>
      <c r="AQ55" s="130"/>
      <c r="AR55" s="130"/>
      <c r="AS55" s="130"/>
      <c r="AT55" s="130"/>
      <c r="AU55" s="130"/>
      <c r="AV55" s="129"/>
    </row>
    <row r="56" spans="1:48" ht="13.8" thickTop="1" x14ac:dyDescent="0.25">
      <c r="A56" s="128"/>
      <c r="B56" s="418"/>
      <c r="C56" s="419"/>
    </row>
    <row r="59" spans="1:48" x14ac:dyDescent="0.25">
      <c r="G59" t="s">
        <v>186</v>
      </c>
    </row>
  </sheetData>
  <mergeCells count="29">
    <mergeCell ref="AI1:AV1"/>
    <mergeCell ref="AI2:AN2"/>
    <mergeCell ref="AO2:AV2"/>
    <mergeCell ref="U1:AH1"/>
    <mergeCell ref="U2:Z2"/>
    <mergeCell ref="AA2:AH2"/>
    <mergeCell ref="B51:C51"/>
    <mergeCell ref="B52:C52"/>
    <mergeCell ref="B53:C53"/>
    <mergeCell ref="K54:L54"/>
    <mergeCell ref="K55:L55"/>
    <mergeCell ref="B54:C54"/>
    <mergeCell ref="B55:C55"/>
    <mergeCell ref="S1:T1"/>
    <mergeCell ref="S2:T4"/>
    <mergeCell ref="B56:C56"/>
    <mergeCell ref="J1:R1"/>
    <mergeCell ref="J2:R2"/>
    <mergeCell ref="J3:R3"/>
    <mergeCell ref="J26:R26"/>
    <mergeCell ref="J50:L50"/>
    <mergeCell ref="K51:L51"/>
    <mergeCell ref="K52:L52"/>
    <mergeCell ref="K53:L53"/>
    <mergeCell ref="A3:I3"/>
    <mergeCell ref="A1:I1"/>
    <mergeCell ref="A2:I2"/>
    <mergeCell ref="A26:I26"/>
    <mergeCell ref="A50:C50"/>
  </mergeCells>
  <hyperlinks>
    <hyperlink ref="S2:T4" r:id="rId1" display="Find instructions here " xr:uid="{C862EE9A-A3C9-4CC4-8B11-399261BE4FC4}"/>
  </hyperlinks>
  <pageMargins left="0.7" right="0.7" top="0.75" bottom="0.75" header="0.3" footer="0.3"/>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DD484-272A-498B-93AE-709CF754FA52}">
  <sheetPr codeName="Sheet14">
    <tabColor rgb="FFFFFFCC"/>
    <outlinePr summaryBelow="0" summaryRight="0"/>
  </sheetPr>
  <dimension ref="A1:U52"/>
  <sheetViews>
    <sheetView showGridLines="0" zoomScale="55" zoomScaleNormal="55" workbookViewId="0">
      <pane xSplit="1" ySplit="4" topLeftCell="B23" activePane="bottomRight" state="frozen"/>
      <selection pane="topRight" activeCell="B1" sqref="B1"/>
      <selection pane="bottomLeft" activeCell="A5" sqref="A5"/>
      <selection pane="bottomRight" activeCell="B27" sqref="B27"/>
    </sheetView>
  </sheetViews>
  <sheetFormatPr defaultColWidth="12.5546875" defaultRowHeight="15.75" customHeight="1" x14ac:dyDescent="0.25"/>
  <cols>
    <col min="1" max="1" width="27" customWidth="1"/>
    <col min="2" max="9" width="20.77734375" customWidth="1"/>
    <col min="10" max="10" width="11" customWidth="1"/>
    <col min="21" max="21" width="23.77734375" customWidth="1"/>
  </cols>
  <sheetData>
    <row r="1" spans="1:21" ht="31.8" customHeight="1" thickTop="1" thickBot="1" x14ac:dyDescent="0.8">
      <c r="A1" s="379" t="s">
        <v>165</v>
      </c>
      <c r="B1" s="420"/>
      <c r="C1" s="420"/>
      <c r="D1" s="420"/>
      <c r="E1" s="420"/>
      <c r="F1" s="420"/>
      <c r="G1" s="420"/>
      <c r="H1" s="420"/>
      <c r="I1" s="420"/>
      <c r="J1" s="420"/>
      <c r="K1" s="420"/>
      <c r="L1" s="421"/>
      <c r="M1" s="306"/>
      <c r="N1" s="450" t="s">
        <v>20</v>
      </c>
      <c r="O1" s="451"/>
      <c r="P1" s="451"/>
      <c r="Q1" s="451"/>
      <c r="R1" s="451"/>
      <c r="S1" s="451"/>
      <c r="T1" s="451"/>
      <c r="U1" s="452"/>
    </row>
    <row r="2" spans="1:21" ht="39.6" customHeight="1" thickTop="1" thickBot="1" x14ac:dyDescent="0.55000000000000004">
      <c r="A2" s="228" t="s">
        <v>166</v>
      </c>
      <c r="B2" s="453" t="s">
        <v>167</v>
      </c>
      <c r="C2" s="454"/>
      <c r="D2" s="455"/>
      <c r="E2" s="229" t="s">
        <v>168</v>
      </c>
      <c r="F2" s="453" t="s">
        <v>169</v>
      </c>
      <c r="G2" s="454"/>
      <c r="H2" s="454"/>
      <c r="I2" s="454"/>
      <c r="J2" s="229" t="s">
        <v>170</v>
      </c>
      <c r="K2" s="453" t="s">
        <v>171</v>
      </c>
      <c r="L2" s="456"/>
      <c r="M2" s="306"/>
      <c r="N2" s="457" t="s">
        <v>24</v>
      </c>
      <c r="O2" s="458"/>
      <c r="P2" s="458"/>
      <c r="Q2" s="459"/>
      <c r="R2" s="460"/>
      <c r="S2" s="461"/>
      <c r="T2" s="461"/>
      <c r="U2" s="462"/>
    </row>
    <row r="3" spans="1:21" ht="30.75" customHeight="1" thickTop="1" thickBot="1" x14ac:dyDescent="0.3">
      <c r="A3" s="225"/>
      <c r="B3" s="463" t="s">
        <v>172</v>
      </c>
      <c r="C3" s="458"/>
      <c r="D3" s="458"/>
      <c r="E3" s="459"/>
      <c r="F3" s="464" t="s">
        <v>173</v>
      </c>
      <c r="G3" s="458"/>
      <c r="H3" s="458"/>
      <c r="I3" s="458"/>
      <c r="J3" s="227"/>
      <c r="K3" s="226"/>
      <c r="L3" s="226"/>
      <c r="M3" s="306"/>
      <c r="N3" s="465"/>
      <c r="O3" s="466"/>
      <c r="P3" s="466"/>
      <c r="Q3" s="466"/>
      <c r="R3" s="466"/>
      <c r="S3" s="466"/>
      <c r="T3" s="466"/>
      <c r="U3" s="467"/>
    </row>
    <row r="4" spans="1:21" ht="56.1" customHeight="1" thickTop="1" thickBot="1" x14ac:dyDescent="0.3">
      <c r="A4" s="230" t="s">
        <v>213</v>
      </c>
      <c r="B4" s="224" t="s">
        <v>174</v>
      </c>
      <c r="C4" s="103" t="s">
        <v>175</v>
      </c>
      <c r="D4" s="103" t="s">
        <v>176</v>
      </c>
      <c r="E4" s="103" t="s">
        <v>177</v>
      </c>
      <c r="F4" s="104" t="s">
        <v>221</v>
      </c>
      <c r="G4" s="105" t="s">
        <v>222</v>
      </c>
      <c r="H4" s="106" t="s">
        <v>223</v>
      </c>
      <c r="I4" s="107" t="s">
        <v>224</v>
      </c>
      <c r="J4" s="231" t="s">
        <v>5</v>
      </c>
      <c r="K4" s="232" t="s">
        <v>225</v>
      </c>
      <c r="L4" s="232" t="s">
        <v>32</v>
      </c>
      <c r="M4" s="306"/>
      <c r="N4" s="468"/>
      <c r="O4" s="306"/>
      <c r="P4" s="306"/>
      <c r="Q4" s="306"/>
      <c r="R4" s="306"/>
      <c r="S4" s="306"/>
      <c r="T4" s="306"/>
      <c r="U4" s="469"/>
    </row>
    <row r="5" spans="1:21" ht="30" customHeight="1" x14ac:dyDescent="0.25">
      <c r="A5" s="252" t="str">
        <f>'Class List'!A5</f>
        <v>Student</v>
      </c>
      <c r="B5" s="199">
        <v>1</v>
      </c>
      <c r="C5" s="200">
        <v>1</v>
      </c>
      <c r="D5" s="200">
        <v>0</v>
      </c>
      <c r="E5" s="200">
        <v>1</v>
      </c>
      <c r="F5" s="200">
        <v>1</v>
      </c>
      <c r="G5" s="199">
        <v>1</v>
      </c>
      <c r="H5" s="199">
        <v>0</v>
      </c>
      <c r="I5" s="200">
        <v>0</v>
      </c>
      <c r="J5" s="197">
        <f>'Class List'!$C5</f>
        <v>9</v>
      </c>
      <c r="K5" s="194">
        <f t="shared" ref="K5:K34" si="0">SUM(B5:I5)</f>
        <v>5</v>
      </c>
      <c r="L5" s="195" t="str">
        <f>IFERROR(
   IF(AND(K5 &gt;= INDEX($B$39:$B$46, MATCH(J5, $A$39:$A$46, 0)), K5 &lt;= INDEX($C$39:$C$46, MATCH(J5, $A$39:$A$46, 0))), "Beginning",
      IF(AND(K5 &gt;= INDEX($D$39:$D$46, MATCH(J5, $A$39:$A$46, 0)), K5 &lt;= INDEX($E$39:$E$46, MATCH(J5, $A$39:$A$46, 0))), "Progressing",
         IF(AND(K5 &gt;= INDEX($F$39:$F$46, MATCH(J5, $A$39:$A$46, 0)), K5 &lt;= INDEX($G$39:$G$46, MATCH(J5, $A$39:$A$46, 0))), "Achieving",
            IF(K5 &gt;= INDEX($H$39:$H$46, MATCH(J5, $A$39:$A$46, 0)), "Excelling",
               "Beginning")))),
   "Age Not Found")</f>
        <v>Progressing</v>
      </c>
      <c r="M5" s="306"/>
      <c r="N5" s="470"/>
      <c r="O5" s="306"/>
      <c r="P5" s="306"/>
      <c r="Q5" s="306"/>
      <c r="R5" s="306"/>
      <c r="S5" s="306"/>
      <c r="T5" s="306"/>
      <c r="U5" s="469"/>
    </row>
    <row r="6" spans="1:21" ht="30" customHeight="1" x14ac:dyDescent="0.25">
      <c r="A6" s="198" t="str">
        <f>'Class List'!A6</f>
        <v>Student</v>
      </c>
      <c r="B6" s="201">
        <v>0</v>
      </c>
      <c r="C6" s="202">
        <v>0</v>
      </c>
      <c r="D6" s="202">
        <v>0</v>
      </c>
      <c r="E6" s="202">
        <v>0</v>
      </c>
      <c r="F6" s="202">
        <v>0</v>
      </c>
      <c r="G6" s="201">
        <v>0</v>
      </c>
      <c r="H6" s="201">
        <v>0</v>
      </c>
      <c r="I6" s="202">
        <v>0</v>
      </c>
      <c r="J6" s="197">
        <f>'Class List'!$C6</f>
        <v>10</v>
      </c>
      <c r="K6" s="194">
        <f t="shared" si="0"/>
        <v>0</v>
      </c>
      <c r="L6" s="195" t="str">
        <f t="shared" ref="L6:L34" si="1">IFERROR(
   IF(AND(K6 &gt;= INDEX($B$39:$B$46, MATCH(J6, $A$39:$A$46, 0)), K6 &lt;= INDEX($C$39:$C$46, MATCH(J6, $A$39:$A$46, 0))), "Beginning",
      IF(AND(K6 &gt;= INDEX($D$39:$D$46, MATCH(J6, $A$39:$A$46, 0)), K6 &lt;= INDEX($E$39:$E$46, MATCH(J6, $A$39:$A$46, 0))), "Progressing",
         IF(AND(K6 &gt;= INDEX($F$39:$F$46, MATCH(J6, $A$39:$A$46, 0)), K6 &lt;= INDEX($G$39:$G$46, MATCH(J6, $A$39:$A$46, 0))), "Achieving",
            IF(K6 &gt;= INDEX($H$39:$H$46, MATCH(J6, $A$39:$A$46, 0)), "Excelling",
               "Beginning")))),
   "Age Not Found")</f>
        <v>Excelling</v>
      </c>
      <c r="M6" s="306"/>
      <c r="N6" s="470"/>
      <c r="O6" s="306"/>
      <c r="P6" s="306"/>
      <c r="Q6" s="306"/>
      <c r="R6" s="306"/>
      <c r="S6" s="306"/>
      <c r="T6" s="306"/>
      <c r="U6" s="469"/>
    </row>
    <row r="7" spans="1:21" ht="30" customHeight="1" x14ac:dyDescent="0.25">
      <c r="A7" s="198" t="str">
        <f>'Class List'!A7</f>
        <v>Student</v>
      </c>
      <c r="B7" s="201">
        <v>0</v>
      </c>
      <c r="C7" s="202">
        <v>0</v>
      </c>
      <c r="D7" s="202">
        <v>0</v>
      </c>
      <c r="E7" s="202">
        <v>0</v>
      </c>
      <c r="F7" s="202">
        <v>0</v>
      </c>
      <c r="G7" s="201">
        <v>0</v>
      </c>
      <c r="H7" s="201">
        <v>0</v>
      </c>
      <c r="I7" s="202">
        <v>0</v>
      </c>
      <c r="J7" s="197">
        <f>'Class List'!$C7</f>
        <v>9</v>
      </c>
      <c r="K7" s="194">
        <f t="shared" si="0"/>
        <v>0</v>
      </c>
      <c r="L7" s="195" t="str">
        <f t="shared" si="1"/>
        <v>Beginning</v>
      </c>
      <c r="M7" s="306"/>
      <c r="N7" s="470"/>
      <c r="O7" s="306"/>
      <c r="P7" s="306"/>
      <c r="Q7" s="306"/>
      <c r="R7" s="306"/>
      <c r="S7" s="306"/>
      <c r="T7" s="306"/>
      <c r="U7" s="469"/>
    </row>
    <row r="8" spans="1:21" ht="30" customHeight="1" x14ac:dyDescent="0.25">
      <c r="A8" s="198" t="str">
        <f>'Class List'!A8</f>
        <v>Student</v>
      </c>
      <c r="B8" s="201">
        <v>0</v>
      </c>
      <c r="C8" s="202">
        <v>0</v>
      </c>
      <c r="D8" s="202">
        <v>0</v>
      </c>
      <c r="E8" s="202">
        <v>0</v>
      </c>
      <c r="F8" s="202">
        <v>0</v>
      </c>
      <c r="G8" s="201">
        <v>0</v>
      </c>
      <c r="H8" s="201">
        <v>0</v>
      </c>
      <c r="I8" s="202">
        <v>0</v>
      </c>
      <c r="J8" s="197">
        <f>'Class List'!$C8</f>
        <v>10</v>
      </c>
      <c r="K8" s="194">
        <f t="shared" si="0"/>
        <v>0</v>
      </c>
      <c r="L8" s="195" t="str">
        <f t="shared" si="1"/>
        <v>Excelling</v>
      </c>
      <c r="M8" s="306"/>
      <c r="N8" s="470"/>
      <c r="O8" s="306"/>
      <c r="P8" s="306"/>
      <c r="Q8" s="306"/>
      <c r="R8" s="306"/>
      <c r="S8" s="306"/>
      <c r="T8" s="306"/>
      <c r="U8" s="469"/>
    </row>
    <row r="9" spans="1:21" ht="30" customHeight="1" x14ac:dyDescent="0.25">
      <c r="A9" s="198" t="str">
        <f>'Class List'!A9</f>
        <v>Student</v>
      </c>
      <c r="B9" s="201">
        <v>0</v>
      </c>
      <c r="C9" s="202">
        <v>0</v>
      </c>
      <c r="D9" s="202">
        <v>0</v>
      </c>
      <c r="E9" s="202">
        <v>0</v>
      </c>
      <c r="F9" s="202">
        <v>0</v>
      </c>
      <c r="G9" s="201">
        <v>0</v>
      </c>
      <c r="H9" s="201">
        <v>0</v>
      </c>
      <c r="I9" s="202">
        <v>0</v>
      </c>
      <c r="J9" s="197">
        <f>'Class List'!$C9</f>
        <v>10</v>
      </c>
      <c r="K9" s="194">
        <f t="shared" si="0"/>
        <v>0</v>
      </c>
      <c r="L9" s="195" t="str">
        <f t="shared" si="1"/>
        <v>Excelling</v>
      </c>
      <c r="M9" s="306"/>
      <c r="N9" s="470"/>
      <c r="O9" s="306"/>
      <c r="P9" s="306"/>
      <c r="Q9" s="306"/>
      <c r="R9" s="306"/>
      <c r="S9" s="306"/>
      <c r="T9" s="306"/>
      <c r="U9" s="469"/>
    </row>
    <row r="10" spans="1:21" ht="30" customHeight="1" x14ac:dyDescent="0.25">
      <c r="A10" s="198" t="str">
        <f>'Class List'!A10</f>
        <v>Student</v>
      </c>
      <c r="B10" s="201">
        <v>0</v>
      </c>
      <c r="C10" s="202">
        <v>0</v>
      </c>
      <c r="D10" s="202">
        <v>0</v>
      </c>
      <c r="E10" s="202">
        <v>0</v>
      </c>
      <c r="F10" s="202">
        <v>0</v>
      </c>
      <c r="G10" s="201">
        <v>0</v>
      </c>
      <c r="H10" s="201">
        <v>0</v>
      </c>
      <c r="I10" s="202">
        <v>0</v>
      </c>
      <c r="J10" s="197">
        <f>'Class List'!$C10</f>
        <v>10</v>
      </c>
      <c r="K10" s="194">
        <f t="shared" si="0"/>
        <v>0</v>
      </c>
      <c r="L10" s="195" t="str">
        <f t="shared" si="1"/>
        <v>Excelling</v>
      </c>
      <c r="M10" s="306"/>
      <c r="N10" s="470"/>
      <c r="O10" s="306"/>
      <c r="P10" s="306"/>
      <c r="Q10" s="306"/>
      <c r="R10" s="306"/>
      <c r="S10" s="306"/>
      <c r="T10" s="306"/>
      <c r="U10" s="469"/>
    </row>
    <row r="11" spans="1:21" ht="30" customHeight="1" x14ac:dyDescent="0.25">
      <c r="A11" s="198" t="str">
        <f>'Class List'!A11</f>
        <v>Student</v>
      </c>
      <c r="B11" s="201">
        <v>0</v>
      </c>
      <c r="C11" s="202">
        <v>0</v>
      </c>
      <c r="D11" s="202">
        <v>0</v>
      </c>
      <c r="E11" s="202">
        <v>0</v>
      </c>
      <c r="F11" s="202">
        <v>0</v>
      </c>
      <c r="G11" s="201">
        <v>0</v>
      </c>
      <c r="H11" s="201">
        <v>0</v>
      </c>
      <c r="I11" s="202">
        <v>0</v>
      </c>
      <c r="J11" s="197">
        <f>'Class List'!$C11</f>
        <v>9</v>
      </c>
      <c r="K11" s="194">
        <f t="shared" si="0"/>
        <v>0</v>
      </c>
      <c r="L11" s="195" t="str">
        <f t="shared" si="1"/>
        <v>Beginning</v>
      </c>
      <c r="M11" s="306"/>
      <c r="N11" s="470"/>
      <c r="O11" s="306"/>
      <c r="P11" s="306"/>
      <c r="Q11" s="306"/>
      <c r="R11" s="306"/>
      <c r="S11" s="306"/>
      <c r="T11" s="306"/>
      <c r="U11" s="469"/>
    </row>
    <row r="12" spans="1:21" ht="30" customHeight="1" x14ac:dyDescent="0.25">
      <c r="A12" s="198" t="str">
        <f>'Class List'!A12</f>
        <v>Student</v>
      </c>
      <c r="B12" s="201">
        <v>0</v>
      </c>
      <c r="C12" s="202">
        <v>0</v>
      </c>
      <c r="D12" s="202">
        <v>0</v>
      </c>
      <c r="E12" s="202">
        <v>0</v>
      </c>
      <c r="F12" s="202">
        <v>0</v>
      </c>
      <c r="G12" s="201">
        <v>0</v>
      </c>
      <c r="H12" s="201">
        <v>0</v>
      </c>
      <c r="I12" s="202">
        <v>0</v>
      </c>
      <c r="J12" s="197">
        <f>'Class List'!$C12</f>
        <v>9</v>
      </c>
      <c r="K12" s="194">
        <f t="shared" si="0"/>
        <v>0</v>
      </c>
      <c r="L12" s="195" t="str">
        <f t="shared" si="1"/>
        <v>Beginning</v>
      </c>
      <c r="M12" s="306"/>
      <c r="N12" s="470"/>
      <c r="O12" s="306"/>
      <c r="P12" s="306"/>
      <c r="Q12" s="306"/>
      <c r="R12" s="306"/>
      <c r="S12" s="306"/>
      <c r="T12" s="306"/>
      <c r="U12" s="469"/>
    </row>
    <row r="13" spans="1:21" ht="30" customHeight="1" x14ac:dyDescent="0.25">
      <c r="A13" s="198" t="str">
        <f>'Class List'!A13</f>
        <v>Student</v>
      </c>
      <c r="B13" s="201">
        <v>0</v>
      </c>
      <c r="C13" s="202">
        <v>0</v>
      </c>
      <c r="D13" s="202">
        <v>0</v>
      </c>
      <c r="E13" s="202">
        <v>0</v>
      </c>
      <c r="F13" s="202">
        <v>0</v>
      </c>
      <c r="G13" s="201">
        <v>0</v>
      </c>
      <c r="H13" s="201">
        <v>0</v>
      </c>
      <c r="I13" s="202">
        <v>0</v>
      </c>
      <c r="J13" s="197">
        <f>'Class List'!$C13</f>
        <v>9</v>
      </c>
      <c r="K13" s="194">
        <f t="shared" si="0"/>
        <v>0</v>
      </c>
      <c r="L13" s="195" t="str">
        <f t="shared" si="1"/>
        <v>Beginning</v>
      </c>
      <c r="M13" s="306"/>
      <c r="N13" s="470"/>
      <c r="O13" s="306"/>
      <c r="P13" s="306"/>
      <c r="Q13" s="306"/>
      <c r="R13" s="306"/>
      <c r="S13" s="306"/>
      <c r="T13" s="306"/>
      <c r="U13" s="469"/>
    </row>
    <row r="14" spans="1:21" ht="30" customHeight="1" x14ac:dyDescent="0.25">
      <c r="A14" s="198" t="str">
        <f>'Class List'!A14</f>
        <v>Student</v>
      </c>
      <c r="B14" s="201">
        <v>0</v>
      </c>
      <c r="C14" s="202">
        <v>0</v>
      </c>
      <c r="D14" s="202">
        <v>0</v>
      </c>
      <c r="E14" s="202">
        <v>0</v>
      </c>
      <c r="F14" s="202">
        <v>0</v>
      </c>
      <c r="G14" s="201">
        <v>0</v>
      </c>
      <c r="H14" s="201">
        <v>0</v>
      </c>
      <c r="I14" s="202">
        <v>0</v>
      </c>
      <c r="J14" s="197">
        <f>'Class List'!$C14</f>
        <v>9</v>
      </c>
      <c r="K14" s="194">
        <f t="shared" si="0"/>
        <v>0</v>
      </c>
      <c r="L14" s="195" t="str">
        <f t="shared" si="1"/>
        <v>Beginning</v>
      </c>
      <c r="M14" s="306"/>
      <c r="N14" s="470"/>
      <c r="O14" s="306"/>
      <c r="P14" s="306"/>
      <c r="Q14" s="306"/>
      <c r="R14" s="306"/>
      <c r="S14" s="306"/>
      <c r="T14" s="306"/>
      <c r="U14" s="469"/>
    </row>
    <row r="15" spans="1:21" ht="30" customHeight="1" x14ac:dyDescent="0.25">
      <c r="A15" s="198" t="str">
        <f>'Class List'!A15</f>
        <v>Student</v>
      </c>
      <c r="B15" s="201">
        <v>0</v>
      </c>
      <c r="C15" s="202">
        <v>0</v>
      </c>
      <c r="D15" s="202">
        <v>0</v>
      </c>
      <c r="E15" s="202">
        <v>0</v>
      </c>
      <c r="F15" s="202">
        <v>0</v>
      </c>
      <c r="G15" s="201">
        <v>0</v>
      </c>
      <c r="H15" s="201">
        <v>0</v>
      </c>
      <c r="I15" s="202">
        <v>0</v>
      </c>
      <c r="J15" s="197">
        <f>'Class List'!$C15</f>
        <v>10</v>
      </c>
      <c r="K15" s="194">
        <f t="shared" si="0"/>
        <v>0</v>
      </c>
      <c r="L15" s="195" t="str">
        <f t="shared" si="1"/>
        <v>Excelling</v>
      </c>
      <c r="M15" s="306"/>
      <c r="N15" s="470"/>
      <c r="O15" s="306"/>
      <c r="P15" s="306"/>
      <c r="Q15" s="306"/>
      <c r="R15" s="306"/>
      <c r="S15" s="306"/>
      <c r="T15" s="306"/>
      <c r="U15" s="469"/>
    </row>
    <row r="16" spans="1:21" ht="30" customHeight="1" x14ac:dyDescent="0.25">
      <c r="A16" s="198" t="str">
        <f>'Class List'!A16</f>
        <v>Student</v>
      </c>
      <c r="B16" s="201">
        <v>0</v>
      </c>
      <c r="C16" s="202">
        <v>0</v>
      </c>
      <c r="D16" s="202">
        <v>0</v>
      </c>
      <c r="E16" s="202">
        <v>0</v>
      </c>
      <c r="F16" s="202">
        <v>0</v>
      </c>
      <c r="G16" s="201">
        <v>0</v>
      </c>
      <c r="H16" s="201">
        <v>0</v>
      </c>
      <c r="I16" s="202">
        <v>0</v>
      </c>
      <c r="J16" s="197">
        <f>'Class List'!$C16</f>
        <v>9</v>
      </c>
      <c r="K16" s="194">
        <f t="shared" si="0"/>
        <v>0</v>
      </c>
      <c r="L16" s="195" t="str">
        <f t="shared" si="1"/>
        <v>Beginning</v>
      </c>
      <c r="M16" s="306"/>
      <c r="N16" s="470"/>
      <c r="O16" s="306"/>
      <c r="P16" s="306"/>
      <c r="Q16" s="306"/>
      <c r="R16" s="306"/>
      <c r="S16" s="306"/>
      <c r="T16" s="306"/>
      <c r="U16" s="469"/>
    </row>
    <row r="17" spans="1:21" ht="30" customHeight="1" x14ac:dyDescent="0.25">
      <c r="A17" s="198" t="str">
        <f>'Class List'!A17</f>
        <v>Student</v>
      </c>
      <c r="B17" s="201">
        <v>0</v>
      </c>
      <c r="C17" s="202">
        <v>0</v>
      </c>
      <c r="D17" s="202">
        <v>0</v>
      </c>
      <c r="E17" s="202">
        <v>0</v>
      </c>
      <c r="F17" s="202">
        <v>0</v>
      </c>
      <c r="G17" s="201">
        <v>0</v>
      </c>
      <c r="H17" s="201">
        <v>0</v>
      </c>
      <c r="I17" s="202">
        <v>0</v>
      </c>
      <c r="J17" s="197">
        <f>'Class List'!$C17</f>
        <v>9</v>
      </c>
      <c r="K17" s="194">
        <f t="shared" si="0"/>
        <v>0</v>
      </c>
      <c r="L17" s="195" t="str">
        <f t="shared" si="1"/>
        <v>Beginning</v>
      </c>
      <c r="M17" s="306"/>
      <c r="N17" s="470"/>
      <c r="O17" s="306"/>
      <c r="P17" s="306"/>
      <c r="Q17" s="306"/>
      <c r="R17" s="306"/>
      <c r="S17" s="306"/>
      <c r="T17" s="306"/>
      <c r="U17" s="469"/>
    </row>
    <row r="18" spans="1:21" ht="30" customHeight="1" x14ac:dyDescent="0.25">
      <c r="A18" s="198" t="str">
        <f>'Class List'!A18</f>
        <v>Student</v>
      </c>
      <c r="B18" s="201">
        <v>0</v>
      </c>
      <c r="C18" s="202">
        <v>0</v>
      </c>
      <c r="D18" s="202">
        <v>0</v>
      </c>
      <c r="E18" s="202">
        <v>0</v>
      </c>
      <c r="F18" s="202">
        <v>0</v>
      </c>
      <c r="G18" s="201">
        <v>0</v>
      </c>
      <c r="H18" s="201">
        <v>0</v>
      </c>
      <c r="I18" s="202">
        <v>0</v>
      </c>
      <c r="J18" s="197">
        <f>'Class List'!$C18</f>
        <v>10</v>
      </c>
      <c r="K18" s="194">
        <f t="shared" si="0"/>
        <v>0</v>
      </c>
      <c r="L18" s="195" t="str">
        <f t="shared" si="1"/>
        <v>Excelling</v>
      </c>
      <c r="M18" s="306"/>
      <c r="N18" s="470"/>
      <c r="O18" s="306"/>
      <c r="P18" s="306"/>
      <c r="Q18" s="306"/>
      <c r="R18" s="306"/>
      <c r="S18" s="306"/>
      <c r="T18" s="306"/>
      <c r="U18" s="469"/>
    </row>
    <row r="19" spans="1:21" ht="30" customHeight="1" x14ac:dyDescent="0.25">
      <c r="A19" s="198" t="str">
        <f>'Class List'!A19</f>
        <v>Student</v>
      </c>
      <c r="B19" s="201">
        <v>0</v>
      </c>
      <c r="C19" s="202">
        <v>0</v>
      </c>
      <c r="D19" s="202">
        <v>0</v>
      </c>
      <c r="E19" s="202">
        <v>0</v>
      </c>
      <c r="F19" s="202">
        <v>0</v>
      </c>
      <c r="G19" s="201">
        <v>0</v>
      </c>
      <c r="H19" s="201">
        <v>0</v>
      </c>
      <c r="I19" s="202">
        <v>0</v>
      </c>
      <c r="J19" s="197">
        <f>'Class List'!$C19</f>
        <v>10</v>
      </c>
      <c r="K19" s="194">
        <f t="shared" si="0"/>
        <v>0</v>
      </c>
      <c r="L19" s="195" t="str">
        <f t="shared" si="1"/>
        <v>Excelling</v>
      </c>
      <c r="M19" s="306"/>
      <c r="N19" s="470"/>
      <c r="O19" s="306"/>
      <c r="P19" s="306"/>
      <c r="Q19" s="306"/>
      <c r="R19" s="306"/>
      <c r="S19" s="306"/>
      <c r="T19" s="306"/>
      <c r="U19" s="469"/>
    </row>
    <row r="20" spans="1:21" ht="30" customHeight="1" x14ac:dyDescent="0.25">
      <c r="A20" s="198" t="str">
        <f>'Class List'!A20</f>
        <v>Student</v>
      </c>
      <c r="B20" s="201">
        <v>0</v>
      </c>
      <c r="C20" s="202">
        <v>0</v>
      </c>
      <c r="D20" s="202">
        <v>0</v>
      </c>
      <c r="E20" s="202">
        <v>0</v>
      </c>
      <c r="F20" s="202">
        <v>0</v>
      </c>
      <c r="G20" s="201">
        <v>0</v>
      </c>
      <c r="H20" s="201">
        <v>0</v>
      </c>
      <c r="I20" s="202">
        <v>0</v>
      </c>
      <c r="J20" s="197">
        <f>'Class List'!$C20</f>
        <v>10</v>
      </c>
      <c r="K20" s="194">
        <f t="shared" si="0"/>
        <v>0</v>
      </c>
      <c r="L20" s="195" t="str">
        <f t="shared" si="1"/>
        <v>Excelling</v>
      </c>
      <c r="M20" s="306"/>
      <c r="N20" s="470"/>
      <c r="O20" s="306"/>
      <c r="P20" s="306"/>
      <c r="Q20" s="306"/>
      <c r="R20" s="306"/>
      <c r="S20" s="306"/>
      <c r="T20" s="306"/>
      <c r="U20" s="469"/>
    </row>
    <row r="21" spans="1:21" ht="30" customHeight="1" x14ac:dyDescent="0.25">
      <c r="A21" s="198" t="str">
        <f>'Class List'!A21</f>
        <v>Student</v>
      </c>
      <c r="B21" s="201">
        <v>0</v>
      </c>
      <c r="C21" s="202">
        <v>0</v>
      </c>
      <c r="D21" s="202">
        <v>0</v>
      </c>
      <c r="E21" s="202">
        <v>0</v>
      </c>
      <c r="F21" s="202">
        <v>0</v>
      </c>
      <c r="G21" s="201">
        <v>0</v>
      </c>
      <c r="H21" s="201">
        <v>0</v>
      </c>
      <c r="I21" s="202">
        <v>0</v>
      </c>
      <c r="J21" s="197">
        <f>'Class List'!$C21</f>
        <v>9</v>
      </c>
      <c r="K21" s="194">
        <f t="shared" si="0"/>
        <v>0</v>
      </c>
      <c r="L21" s="195" t="str">
        <f t="shared" si="1"/>
        <v>Beginning</v>
      </c>
      <c r="M21" s="306"/>
      <c r="N21" s="470"/>
      <c r="O21" s="306"/>
      <c r="P21" s="306"/>
      <c r="Q21" s="306"/>
      <c r="R21" s="306"/>
      <c r="S21" s="306"/>
      <c r="T21" s="306"/>
      <c r="U21" s="469"/>
    </row>
    <row r="22" spans="1:21" ht="30" customHeight="1" x14ac:dyDescent="0.25">
      <c r="A22" s="198" t="str">
        <f>'Class List'!A22</f>
        <v>Student</v>
      </c>
      <c r="B22" s="201">
        <v>0</v>
      </c>
      <c r="C22" s="202">
        <v>0</v>
      </c>
      <c r="D22" s="202">
        <v>0</v>
      </c>
      <c r="E22" s="202">
        <v>0</v>
      </c>
      <c r="F22" s="202">
        <v>0</v>
      </c>
      <c r="G22" s="201">
        <v>0</v>
      </c>
      <c r="H22" s="201">
        <v>0</v>
      </c>
      <c r="I22" s="202">
        <v>0</v>
      </c>
      <c r="J22" s="197">
        <f>'Class List'!$C22</f>
        <v>10</v>
      </c>
      <c r="K22" s="194">
        <f t="shared" si="0"/>
        <v>0</v>
      </c>
      <c r="L22" s="195" t="str">
        <f t="shared" si="1"/>
        <v>Excelling</v>
      </c>
      <c r="M22" s="306"/>
      <c r="N22" s="470"/>
      <c r="O22" s="306"/>
      <c r="P22" s="306"/>
      <c r="Q22" s="306"/>
      <c r="R22" s="306"/>
      <c r="S22" s="306"/>
      <c r="T22" s="306"/>
      <c r="U22" s="469"/>
    </row>
    <row r="23" spans="1:21" ht="30" customHeight="1" x14ac:dyDescent="0.25">
      <c r="A23" s="198" t="str">
        <f>'Class List'!A23</f>
        <v>Student</v>
      </c>
      <c r="B23" s="201">
        <v>0</v>
      </c>
      <c r="C23" s="202">
        <v>0</v>
      </c>
      <c r="D23" s="202">
        <v>0</v>
      </c>
      <c r="E23" s="202">
        <v>0</v>
      </c>
      <c r="F23" s="202">
        <v>0</v>
      </c>
      <c r="G23" s="201">
        <v>0</v>
      </c>
      <c r="H23" s="201">
        <v>0</v>
      </c>
      <c r="I23" s="202">
        <v>0</v>
      </c>
      <c r="J23" s="197">
        <f>'Class List'!$C23</f>
        <v>10</v>
      </c>
      <c r="K23" s="194">
        <f t="shared" si="0"/>
        <v>0</v>
      </c>
      <c r="L23" s="195" t="str">
        <f t="shared" si="1"/>
        <v>Excelling</v>
      </c>
      <c r="M23" s="306"/>
      <c r="N23" s="470"/>
      <c r="O23" s="306"/>
      <c r="P23" s="306"/>
      <c r="Q23" s="306"/>
      <c r="R23" s="306"/>
      <c r="S23" s="306"/>
      <c r="T23" s="306"/>
      <c r="U23" s="469"/>
    </row>
    <row r="24" spans="1:21" ht="30" customHeight="1" x14ac:dyDescent="0.25">
      <c r="A24" s="198" t="str">
        <f>'Class List'!A24</f>
        <v>Student</v>
      </c>
      <c r="B24" s="201">
        <v>0</v>
      </c>
      <c r="C24" s="202">
        <v>0</v>
      </c>
      <c r="D24" s="202">
        <v>0</v>
      </c>
      <c r="E24" s="202">
        <v>0</v>
      </c>
      <c r="F24" s="202">
        <v>0</v>
      </c>
      <c r="G24" s="201">
        <v>0</v>
      </c>
      <c r="H24" s="201">
        <v>0</v>
      </c>
      <c r="I24" s="202">
        <v>0</v>
      </c>
      <c r="J24" s="197">
        <f>'Class List'!$C24</f>
        <v>9</v>
      </c>
      <c r="K24" s="194">
        <f t="shared" si="0"/>
        <v>0</v>
      </c>
      <c r="L24" s="195" t="str">
        <f t="shared" si="1"/>
        <v>Beginning</v>
      </c>
      <c r="M24" s="306"/>
      <c r="N24" s="470"/>
      <c r="O24" s="306"/>
      <c r="P24" s="306"/>
      <c r="Q24" s="306"/>
      <c r="R24" s="306"/>
      <c r="S24" s="306"/>
      <c r="T24" s="306"/>
      <c r="U24" s="469"/>
    </row>
    <row r="25" spans="1:21" ht="30" customHeight="1" x14ac:dyDescent="0.25">
      <c r="A25" s="198" t="str">
        <f>'Class List'!A25</f>
        <v>Student</v>
      </c>
      <c r="B25" s="201">
        <v>0</v>
      </c>
      <c r="C25" s="202">
        <v>0</v>
      </c>
      <c r="D25" s="202">
        <v>0</v>
      </c>
      <c r="E25" s="202">
        <v>0</v>
      </c>
      <c r="F25" s="202">
        <v>0</v>
      </c>
      <c r="G25" s="201">
        <v>0</v>
      </c>
      <c r="H25" s="201">
        <v>0</v>
      </c>
      <c r="I25" s="202">
        <v>0</v>
      </c>
      <c r="J25" s="197">
        <f>'Class List'!$C25</f>
        <v>10</v>
      </c>
      <c r="K25" s="194">
        <f t="shared" si="0"/>
        <v>0</v>
      </c>
      <c r="L25" s="195" t="str">
        <f t="shared" si="1"/>
        <v>Excelling</v>
      </c>
      <c r="M25" s="306"/>
      <c r="N25" s="470"/>
      <c r="O25" s="306"/>
      <c r="P25" s="306"/>
      <c r="Q25" s="306"/>
      <c r="R25" s="306"/>
      <c r="S25" s="306"/>
      <c r="T25" s="306"/>
      <c r="U25" s="469"/>
    </row>
    <row r="26" spans="1:21" ht="30" customHeight="1" x14ac:dyDescent="0.25">
      <c r="A26" s="198" t="str">
        <f>'Class List'!A26</f>
        <v>Student</v>
      </c>
      <c r="B26" s="201">
        <v>0</v>
      </c>
      <c r="C26" s="202">
        <v>0</v>
      </c>
      <c r="D26" s="202">
        <v>0</v>
      </c>
      <c r="E26" s="202">
        <v>0</v>
      </c>
      <c r="F26" s="202">
        <v>0</v>
      </c>
      <c r="G26" s="201">
        <v>0</v>
      </c>
      <c r="H26" s="201">
        <v>0</v>
      </c>
      <c r="I26" s="202">
        <v>0</v>
      </c>
      <c r="J26" s="197">
        <f>'Class List'!$C26</f>
        <v>10</v>
      </c>
      <c r="K26" s="194">
        <f t="shared" si="0"/>
        <v>0</v>
      </c>
      <c r="L26" s="195" t="str">
        <f t="shared" si="1"/>
        <v>Excelling</v>
      </c>
      <c r="M26" s="306"/>
      <c r="N26" s="470"/>
      <c r="O26" s="306"/>
      <c r="P26" s="306"/>
      <c r="Q26" s="306"/>
      <c r="R26" s="306"/>
      <c r="S26" s="306"/>
      <c r="T26" s="306"/>
      <c r="U26" s="469"/>
    </row>
    <row r="27" spans="1:21" ht="30" customHeight="1" x14ac:dyDescent="0.25">
      <c r="A27" s="198" t="str">
        <f>'Class List'!A27</f>
        <v>Student</v>
      </c>
      <c r="B27" s="201">
        <v>0</v>
      </c>
      <c r="C27" s="202">
        <v>0</v>
      </c>
      <c r="D27" s="202">
        <v>0</v>
      </c>
      <c r="E27" s="202">
        <v>0</v>
      </c>
      <c r="F27" s="202">
        <v>0</v>
      </c>
      <c r="G27" s="201">
        <v>0</v>
      </c>
      <c r="H27" s="201">
        <v>0</v>
      </c>
      <c r="I27" s="202">
        <v>0</v>
      </c>
      <c r="J27" s="197">
        <f>'Class List'!$C27</f>
        <v>9</v>
      </c>
      <c r="K27" s="194">
        <f t="shared" si="0"/>
        <v>0</v>
      </c>
      <c r="L27" s="195" t="str">
        <f t="shared" si="1"/>
        <v>Beginning</v>
      </c>
      <c r="M27" s="306"/>
      <c r="N27" s="470"/>
      <c r="O27" s="306"/>
      <c r="P27" s="306"/>
      <c r="Q27" s="306"/>
      <c r="R27" s="306"/>
      <c r="S27" s="306"/>
      <c r="T27" s="306"/>
      <c r="U27" s="469"/>
    </row>
    <row r="28" spans="1:21" ht="30" customHeight="1" x14ac:dyDescent="0.25">
      <c r="A28" s="198" t="str">
        <f>'Class List'!A28</f>
        <v>Student</v>
      </c>
      <c r="B28" s="201">
        <v>0</v>
      </c>
      <c r="C28" s="202">
        <v>0</v>
      </c>
      <c r="D28" s="202">
        <v>0</v>
      </c>
      <c r="E28" s="202">
        <v>0</v>
      </c>
      <c r="F28" s="202">
        <v>0</v>
      </c>
      <c r="G28" s="201">
        <v>0</v>
      </c>
      <c r="H28" s="201">
        <v>0</v>
      </c>
      <c r="I28" s="202">
        <v>0</v>
      </c>
      <c r="J28" s="197">
        <f>'Class List'!$C28</f>
        <v>9</v>
      </c>
      <c r="K28" s="194">
        <f t="shared" si="0"/>
        <v>0</v>
      </c>
      <c r="L28" s="195" t="str">
        <f t="shared" si="1"/>
        <v>Beginning</v>
      </c>
      <c r="M28" s="306"/>
      <c r="N28" s="470"/>
      <c r="O28" s="306"/>
      <c r="P28" s="306"/>
      <c r="Q28" s="306"/>
      <c r="R28" s="306"/>
      <c r="S28" s="306"/>
      <c r="T28" s="306"/>
      <c r="U28" s="469"/>
    </row>
    <row r="29" spans="1:21" ht="30" customHeight="1" x14ac:dyDescent="0.25">
      <c r="A29" s="198" t="str">
        <f>'Class List'!A29</f>
        <v>Student</v>
      </c>
      <c r="B29" s="201">
        <v>0</v>
      </c>
      <c r="C29" s="202">
        <v>0</v>
      </c>
      <c r="D29" s="202">
        <v>0</v>
      </c>
      <c r="E29" s="202">
        <v>0</v>
      </c>
      <c r="F29" s="202">
        <v>0</v>
      </c>
      <c r="G29" s="201">
        <v>0</v>
      </c>
      <c r="H29" s="201">
        <v>0</v>
      </c>
      <c r="I29" s="202">
        <v>0</v>
      </c>
      <c r="J29" s="197">
        <f>'Class List'!$C29</f>
        <v>9</v>
      </c>
      <c r="K29" s="194">
        <f t="shared" si="0"/>
        <v>0</v>
      </c>
      <c r="L29" s="195" t="str">
        <f t="shared" si="1"/>
        <v>Beginning</v>
      </c>
      <c r="M29" s="306"/>
      <c r="N29" s="470"/>
      <c r="O29" s="306"/>
      <c r="P29" s="306"/>
      <c r="Q29" s="306"/>
      <c r="R29" s="306"/>
      <c r="S29" s="306"/>
      <c r="T29" s="306"/>
      <c r="U29" s="469"/>
    </row>
    <row r="30" spans="1:21" ht="30" customHeight="1" x14ac:dyDescent="0.25">
      <c r="A30" s="198" t="str">
        <f>'Class List'!A30</f>
        <v>Student</v>
      </c>
      <c r="B30" s="201">
        <v>0</v>
      </c>
      <c r="C30" s="202">
        <v>0</v>
      </c>
      <c r="D30" s="202">
        <v>0</v>
      </c>
      <c r="E30" s="202">
        <v>0</v>
      </c>
      <c r="F30" s="202">
        <v>0</v>
      </c>
      <c r="G30" s="201">
        <v>0</v>
      </c>
      <c r="H30" s="201">
        <v>0</v>
      </c>
      <c r="I30" s="202">
        <v>0</v>
      </c>
      <c r="J30" s="197">
        <f>'Class List'!$C30</f>
        <v>9</v>
      </c>
      <c r="K30" s="194">
        <f t="shared" si="0"/>
        <v>0</v>
      </c>
      <c r="L30" s="195" t="str">
        <f t="shared" si="1"/>
        <v>Beginning</v>
      </c>
      <c r="M30" s="306"/>
      <c r="N30" s="470"/>
      <c r="O30" s="306"/>
      <c r="P30" s="306"/>
      <c r="Q30" s="306"/>
      <c r="R30" s="306"/>
      <c r="S30" s="306"/>
      <c r="T30" s="306"/>
      <c r="U30" s="469"/>
    </row>
    <row r="31" spans="1:21" ht="30" customHeight="1" x14ac:dyDescent="0.25">
      <c r="A31" s="198">
        <f>'Class List'!A31</f>
        <v>0</v>
      </c>
      <c r="B31" s="201">
        <v>0</v>
      </c>
      <c r="C31" s="202">
        <v>0</v>
      </c>
      <c r="D31" s="202">
        <v>0</v>
      </c>
      <c r="E31" s="202">
        <v>0</v>
      </c>
      <c r="F31" s="202">
        <v>0</v>
      </c>
      <c r="G31" s="201">
        <v>0</v>
      </c>
      <c r="H31" s="201">
        <v>0</v>
      </c>
      <c r="I31" s="202">
        <v>0</v>
      </c>
      <c r="J31" s="197">
        <f>'Class List'!$C31</f>
        <v>0</v>
      </c>
      <c r="K31" s="194">
        <f t="shared" si="0"/>
        <v>0</v>
      </c>
      <c r="L31" s="195" t="str">
        <f t="shared" si="1"/>
        <v>Age Not Found</v>
      </c>
      <c r="M31" s="306"/>
      <c r="N31" s="470"/>
      <c r="O31" s="306"/>
      <c r="P31" s="306"/>
      <c r="Q31" s="306"/>
      <c r="R31" s="306"/>
      <c r="S31" s="306"/>
      <c r="T31" s="306"/>
      <c r="U31" s="469"/>
    </row>
    <row r="32" spans="1:21" ht="30" customHeight="1" x14ac:dyDescent="0.25">
      <c r="A32" s="198">
        <f>'Class List'!A32</f>
        <v>0</v>
      </c>
      <c r="B32" s="201">
        <v>0</v>
      </c>
      <c r="C32" s="202">
        <v>0</v>
      </c>
      <c r="D32" s="202">
        <v>0</v>
      </c>
      <c r="E32" s="202">
        <v>0</v>
      </c>
      <c r="F32" s="202">
        <v>0</v>
      </c>
      <c r="G32" s="201">
        <v>0</v>
      </c>
      <c r="H32" s="201">
        <v>0</v>
      </c>
      <c r="I32" s="202">
        <v>0</v>
      </c>
      <c r="J32" s="197">
        <f>'Class List'!$C32</f>
        <v>0</v>
      </c>
      <c r="K32" s="194">
        <f t="shared" si="0"/>
        <v>0</v>
      </c>
      <c r="L32" s="195" t="str">
        <f t="shared" si="1"/>
        <v>Age Not Found</v>
      </c>
      <c r="M32" s="306"/>
      <c r="N32" s="470"/>
      <c r="O32" s="306"/>
      <c r="P32" s="306"/>
      <c r="Q32" s="306"/>
      <c r="R32" s="306"/>
      <c r="S32" s="306"/>
      <c r="T32" s="306"/>
      <c r="U32" s="469"/>
    </row>
    <row r="33" spans="1:21" ht="30" customHeight="1" x14ac:dyDescent="0.25">
      <c r="A33" s="198">
        <f>'Class List'!A33</f>
        <v>0</v>
      </c>
      <c r="B33" s="201">
        <v>0</v>
      </c>
      <c r="C33" s="202">
        <v>0</v>
      </c>
      <c r="D33" s="202">
        <v>0</v>
      </c>
      <c r="E33" s="202">
        <v>0</v>
      </c>
      <c r="F33" s="202">
        <v>0</v>
      </c>
      <c r="G33" s="201">
        <v>0</v>
      </c>
      <c r="H33" s="201">
        <v>0</v>
      </c>
      <c r="I33" s="202">
        <v>0</v>
      </c>
      <c r="J33" s="197">
        <f>'Class List'!$C33</f>
        <v>0</v>
      </c>
      <c r="K33" s="194">
        <f t="shared" si="0"/>
        <v>0</v>
      </c>
      <c r="L33" s="195" t="str">
        <f t="shared" si="1"/>
        <v>Age Not Found</v>
      </c>
      <c r="M33" s="306"/>
      <c r="N33" s="470"/>
      <c r="O33" s="306"/>
      <c r="P33" s="306"/>
      <c r="Q33" s="306"/>
      <c r="R33" s="306"/>
      <c r="S33" s="306"/>
      <c r="T33" s="306"/>
      <c r="U33" s="469"/>
    </row>
    <row r="34" spans="1:21" ht="30" customHeight="1" thickBot="1" x14ac:dyDescent="0.3">
      <c r="A34" s="198">
        <f>'Class List'!A34</f>
        <v>0</v>
      </c>
      <c r="B34" s="203">
        <v>0</v>
      </c>
      <c r="C34" s="204">
        <v>0</v>
      </c>
      <c r="D34" s="204">
        <v>0</v>
      </c>
      <c r="E34" s="204">
        <v>0</v>
      </c>
      <c r="F34" s="204">
        <v>0</v>
      </c>
      <c r="G34" s="203">
        <v>0</v>
      </c>
      <c r="H34" s="203">
        <v>0</v>
      </c>
      <c r="I34" s="204">
        <v>0</v>
      </c>
      <c r="J34" s="197">
        <f>'Class List'!$C34</f>
        <v>0</v>
      </c>
      <c r="K34" s="194">
        <f t="shared" si="0"/>
        <v>0</v>
      </c>
      <c r="L34" s="195" t="str">
        <f t="shared" si="1"/>
        <v>Age Not Found</v>
      </c>
      <c r="M34" s="306"/>
      <c r="N34" s="470"/>
      <c r="O34" s="306"/>
      <c r="P34" s="306"/>
      <c r="Q34" s="306"/>
      <c r="R34" s="306"/>
      <c r="S34" s="306"/>
      <c r="T34" s="306"/>
      <c r="U34" s="469"/>
    </row>
    <row r="35" spans="1:21" ht="14.4" thickTop="1" thickBot="1" x14ac:dyDescent="0.3">
      <c r="A35" s="220" t="s">
        <v>34</v>
      </c>
      <c r="B35" s="221">
        <f t="shared" ref="B35:I35" si="2">SUM(B5:B34)</f>
        <v>1</v>
      </c>
      <c r="C35" s="221">
        <f t="shared" si="2"/>
        <v>1</v>
      </c>
      <c r="D35" s="221">
        <f t="shared" si="2"/>
        <v>0</v>
      </c>
      <c r="E35" s="221">
        <f t="shared" si="2"/>
        <v>1</v>
      </c>
      <c r="F35" s="221">
        <f t="shared" si="2"/>
        <v>1</v>
      </c>
      <c r="G35" s="221">
        <f t="shared" si="2"/>
        <v>1</v>
      </c>
      <c r="H35" s="221">
        <f t="shared" si="2"/>
        <v>0</v>
      </c>
      <c r="I35" s="222">
        <f t="shared" si="2"/>
        <v>0</v>
      </c>
      <c r="J35" s="222"/>
      <c r="K35" s="222"/>
      <c r="L35" s="223"/>
      <c r="M35" s="306"/>
      <c r="N35" s="470"/>
      <c r="O35" s="306"/>
      <c r="P35" s="306"/>
      <c r="Q35" s="306"/>
      <c r="R35" s="306"/>
      <c r="S35" s="306"/>
      <c r="T35" s="306"/>
      <c r="U35" s="469"/>
    </row>
    <row r="36" spans="1:21" ht="16.2" thickTop="1" x14ac:dyDescent="0.3">
      <c r="A36" s="444" t="s">
        <v>35</v>
      </c>
      <c r="B36" s="445"/>
      <c r="C36" s="445"/>
      <c r="D36" s="445"/>
      <c r="E36" s="445"/>
      <c r="F36" s="445"/>
      <c r="G36" s="445"/>
      <c r="H36" s="446"/>
      <c r="I36" s="109"/>
      <c r="K36" s="472"/>
      <c r="L36" s="306"/>
      <c r="M36" s="306"/>
      <c r="N36" s="470"/>
      <c r="O36" s="306"/>
      <c r="P36" s="306"/>
      <c r="Q36" s="306"/>
      <c r="R36" s="306"/>
      <c r="S36" s="306"/>
      <c r="T36" s="306"/>
      <c r="U36" s="469"/>
    </row>
    <row r="37" spans="1:21" ht="13.2" x14ac:dyDescent="0.25">
      <c r="A37" s="447"/>
      <c r="B37" s="448"/>
      <c r="C37" s="448"/>
      <c r="D37" s="448"/>
      <c r="E37" s="448"/>
      <c r="F37" s="448"/>
      <c r="G37" s="448"/>
      <c r="H37" s="449"/>
      <c r="I37" s="110"/>
      <c r="K37" s="306"/>
      <c r="L37" s="306"/>
      <c r="M37" s="306"/>
      <c r="N37" s="470"/>
      <c r="O37" s="306"/>
      <c r="P37" s="306"/>
      <c r="Q37" s="306"/>
      <c r="R37" s="306"/>
      <c r="S37" s="306"/>
      <c r="T37" s="306"/>
      <c r="U37" s="469"/>
    </row>
    <row r="38" spans="1:21" ht="13.2" x14ac:dyDescent="0.25">
      <c r="A38" s="119" t="s">
        <v>5</v>
      </c>
      <c r="B38" s="118" t="s">
        <v>179</v>
      </c>
      <c r="C38" s="118" t="s">
        <v>180</v>
      </c>
      <c r="D38" s="118" t="s">
        <v>158</v>
      </c>
      <c r="E38" s="118" t="s">
        <v>159</v>
      </c>
      <c r="F38" s="118" t="s">
        <v>160</v>
      </c>
      <c r="G38" s="118" t="s">
        <v>161</v>
      </c>
      <c r="H38" s="120" t="s">
        <v>181</v>
      </c>
      <c r="I38" s="111"/>
      <c r="K38" s="112" t="s">
        <v>41</v>
      </c>
      <c r="L38" s="113"/>
      <c r="M38" s="306"/>
      <c r="N38" s="470"/>
      <c r="O38" s="306"/>
      <c r="P38" s="306"/>
      <c r="Q38" s="306"/>
      <c r="R38" s="306"/>
      <c r="S38" s="306"/>
      <c r="T38" s="306"/>
      <c r="U38" s="469"/>
    </row>
    <row r="39" spans="1:21" ht="13.2" x14ac:dyDescent="0.25">
      <c r="A39" s="121">
        <v>5</v>
      </c>
      <c r="B39" s="122">
        <v>1</v>
      </c>
      <c r="C39" s="122">
        <v>3</v>
      </c>
      <c r="D39" s="122">
        <v>4</v>
      </c>
      <c r="E39" s="122">
        <v>4</v>
      </c>
      <c r="F39" s="122">
        <v>5</v>
      </c>
      <c r="G39" s="122">
        <v>5</v>
      </c>
      <c r="H39" s="123">
        <v>6</v>
      </c>
      <c r="I39" s="114"/>
      <c r="K39" s="115" t="s">
        <v>42</v>
      </c>
      <c r="L39" s="116">
        <f>COUNTIF(L$5:L$34, "Beginning")</f>
        <v>13</v>
      </c>
      <c r="M39" s="306"/>
      <c r="N39" s="470"/>
      <c r="O39" s="306"/>
      <c r="P39" s="306"/>
      <c r="Q39" s="306"/>
      <c r="R39" s="306"/>
      <c r="S39" s="306"/>
      <c r="T39" s="306"/>
      <c r="U39" s="469"/>
    </row>
    <row r="40" spans="1:21" ht="13.2" x14ac:dyDescent="0.25">
      <c r="A40" s="121">
        <v>6</v>
      </c>
      <c r="B40" s="122">
        <v>1</v>
      </c>
      <c r="C40" s="122">
        <v>3</v>
      </c>
      <c r="D40" s="122">
        <v>4</v>
      </c>
      <c r="E40" s="122">
        <v>4</v>
      </c>
      <c r="F40" s="122">
        <v>5</v>
      </c>
      <c r="G40" s="122">
        <v>5</v>
      </c>
      <c r="H40" s="123">
        <v>6</v>
      </c>
      <c r="I40" s="114"/>
      <c r="K40" s="115" t="s">
        <v>38</v>
      </c>
      <c r="L40" s="116">
        <f>COUNTIF(L$5:L$34, "Progressing")</f>
        <v>1</v>
      </c>
      <c r="M40" s="306"/>
      <c r="N40" s="470"/>
      <c r="O40" s="306"/>
      <c r="P40" s="306"/>
      <c r="Q40" s="306"/>
      <c r="R40" s="306"/>
      <c r="S40" s="306"/>
      <c r="T40" s="306"/>
      <c r="U40" s="469"/>
    </row>
    <row r="41" spans="1:21" ht="13.2" x14ac:dyDescent="0.25">
      <c r="A41" s="121">
        <v>7</v>
      </c>
      <c r="B41" s="122">
        <v>1</v>
      </c>
      <c r="C41" s="122">
        <v>3</v>
      </c>
      <c r="D41" s="122">
        <v>4</v>
      </c>
      <c r="E41" s="122">
        <v>5</v>
      </c>
      <c r="F41" s="122">
        <v>6</v>
      </c>
      <c r="G41" s="122">
        <v>6</v>
      </c>
      <c r="H41" s="123">
        <v>7</v>
      </c>
      <c r="I41" s="114"/>
      <c r="K41" s="115" t="s">
        <v>43</v>
      </c>
      <c r="L41" s="116">
        <f>COUNTIF(L$5:L$34, "Achieving")</f>
        <v>0</v>
      </c>
      <c r="M41" s="306"/>
      <c r="N41" s="470"/>
      <c r="O41" s="306"/>
      <c r="P41" s="306"/>
      <c r="Q41" s="306"/>
      <c r="R41" s="306"/>
      <c r="S41" s="306"/>
      <c r="T41" s="306"/>
      <c r="U41" s="469"/>
    </row>
    <row r="42" spans="1:21" ht="13.2" x14ac:dyDescent="0.25">
      <c r="A42" s="121">
        <v>8</v>
      </c>
      <c r="B42" s="122">
        <v>1</v>
      </c>
      <c r="C42" s="122">
        <v>3</v>
      </c>
      <c r="D42" s="122">
        <v>4</v>
      </c>
      <c r="E42" s="122">
        <v>5</v>
      </c>
      <c r="F42" s="122">
        <v>6</v>
      </c>
      <c r="G42" s="122">
        <v>6</v>
      </c>
      <c r="H42" s="123">
        <v>7</v>
      </c>
      <c r="I42" s="114"/>
      <c r="K42" s="115" t="s">
        <v>40</v>
      </c>
      <c r="L42" s="116">
        <f>COUNTIF(L$5:L$34, "Excelling")</f>
        <v>12</v>
      </c>
      <c r="M42" s="306"/>
      <c r="N42" s="470"/>
      <c r="O42" s="306"/>
      <c r="P42" s="306"/>
      <c r="Q42" s="306"/>
      <c r="R42" s="306"/>
      <c r="S42" s="306"/>
      <c r="T42" s="306"/>
      <c r="U42" s="469"/>
    </row>
    <row r="43" spans="1:21" ht="13.2" x14ac:dyDescent="0.25">
      <c r="A43" s="121">
        <v>9</v>
      </c>
      <c r="B43" s="122">
        <v>1</v>
      </c>
      <c r="C43" s="122">
        <v>4</v>
      </c>
      <c r="D43" s="122">
        <v>5</v>
      </c>
      <c r="E43" s="122">
        <v>6</v>
      </c>
      <c r="F43" s="122">
        <v>7</v>
      </c>
      <c r="G43" s="122">
        <v>7</v>
      </c>
      <c r="H43" s="123">
        <v>8</v>
      </c>
      <c r="I43" s="114"/>
      <c r="K43" s="306"/>
      <c r="L43" s="306"/>
      <c r="M43" s="306"/>
      <c r="N43" s="470"/>
      <c r="O43" s="306"/>
      <c r="P43" s="306"/>
      <c r="Q43" s="306"/>
      <c r="R43" s="306"/>
      <c r="S43" s="306"/>
      <c r="T43" s="306"/>
      <c r="U43" s="469"/>
    </row>
    <row r="44" spans="1:21" ht="13.8" thickBot="1" x14ac:dyDescent="0.3">
      <c r="A44" s="121">
        <v>10</v>
      </c>
      <c r="B44" s="122">
        <v>1</v>
      </c>
      <c r="C44" s="122">
        <v>5</v>
      </c>
      <c r="D44" s="122">
        <v>6</v>
      </c>
      <c r="E44" s="122">
        <v>7</v>
      </c>
      <c r="F44" s="122">
        <v>8</v>
      </c>
      <c r="G44" s="122">
        <v>8</v>
      </c>
      <c r="H44" s="123"/>
      <c r="I44" s="114"/>
      <c r="K44" s="306"/>
      <c r="L44" s="306"/>
      <c r="M44" s="306"/>
      <c r="N44" s="471"/>
      <c r="O44" s="437"/>
      <c r="P44" s="437"/>
      <c r="Q44" s="437"/>
      <c r="R44" s="437"/>
      <c r="S44" s="437"/>
      <c r="T44" s="437"/>
      <c r="U44" s="438"/>
    </row>
    <row r="45" spans="1:21" ht="13.8" thickTop="1" x14ac:dyDescent="0.25">
      <c r="A45" s="121">
        <v>11</v>
      </c>
      <c r="B45" s="122">
        <v>1</v>
      </c>
      <c r="C45" s="122">
        <v>5</v>
      </c>
      <c r="D45" s="122">
        <v>6</v>
      </c>
      <c r="E45" s="122">
        <v>7</v>
      </c>
      <c r="F45" s="122">
        <v>8</v>
      </c>
      <c r="G45" s="122">
        <v>8</v>
      </c>
      <c r="H45" s="123"/>
      <c r="I45" s="114"/>
      <c r="K45" s="306"/>
      <c r="L45" s="306"/>
      <c r="M45" s="306"/>
      <c r="N45" s="306"/>
      <c r="O45" s="306"/>
      <c r="P45" s="306"/>
      <c r="Q45" s="306"/>
      <c r="R45" s="306"/>
      <c r="S45" s="306"/>
      <c r="T45" s="306"/>
      <c r="U45" s="306"/>
    </row>
    <row r="46" spans="1:21" ht="13.8" thickBot="1" x14ac:dyDescent="0.3">
      <c r="A46" s="124">
        <v>12</v>
      </c>
      <c r="B46" s="125">
        <v>1</v>
      </c>
      <c r="C46" s="125">
        <v>5</v>
      </c>
      <c r="D46" s="125">
        <v>6</v>
      </c>
      <c r="E46" s="125">
        <v>7</v>
      </c>
      <c r="F46" s="125">
        <v>8</v>
      </c>
      <c r="G46" s="125">
        <v>8</v>
      </c>
      <c r="H46" s="126"/>
      <c r="K46" s="306"/>
      <c r="L46" s="306"/>
      <c r="M46" s="306"/>
      <c r="N46" s="306"/>
      <c r="O46" s="306"/>
      <c r="P46" s="306"/>
      <c r="Q46" s="306"/>
      <c r="R46" s="306"/>
      <c r="S46" s="306"/>
      <c r="T46" s="306"/>
      <c r="U46" s="306"/>
    </row>
    <row r="48" spans="1:21" ht="13.2" x14ac:dyDescent="0.25">
      <c r="A48" s="117" t="s">
        <v>44</v>
      </c>
      <c r="H48" s="25" t="s">
        <v>178</v>
      </c>
    </row>
    <row r="49" spans="1:1" ht="13.2" x14ac:dyDescent="0.25">
      <c r="A49" s="117" t="s">
        <v>42</v>
      </c>
    </row>
    <row r="50" spans="1:1" ht="13.2" x14ac:dyDescent="0.25">
      <c r="A50" s="117" t="s">
        <v>38</v>
      </c>
    </row>
    <row r="51" spans="1:1" ht="13.2" x14ac:dyDescent="0.25">
      <c r="A51" s="117" t="s">
        <v>39</v>
      </c>
    </row>
    <row r="52" spans="1:1" ht="13.2" x14ac:dyDescent="0.25">
      <c r="A52" s="117" t="s">
        <v>40</v>
      </c>
    </row>
  </sheetData>
  <mergeCells count="17">
    <mergeCell ref="N45:U46"/>
    <mergeCell ref="A36:H36"/>
    <mergeCell ref="A37:H37"/>
    <mergeCell ref="A1:L1"/>
    <mergeCell ref="M1:M46"/>
    <mergeCell ref="N1:U1"/>
    <mergeCell ref="B2:D2"/>
    <mergeCell ref="F2:I2"/>
    <mergeCell ref="K2:L2"/>
    <mergeCell ref="N2:Q2"/>
    <mergeCell ref="R2:U2"/>
    <mergeCell ref="B3:E3"/>
    <mergeCell ref="F3:I3"/>
    <mergeCell ref="N3:U3"/>
    <mergeCell ref="N4:U44"/>
    <mergeCell ref="K36:L37"/>
    <mergeCell ref="K43:L46"/>
  </mergeCells>
  <conditionalFormatting sqref="L5:L34">
    <cfRule type="containsText" dxfId="23" priority="1" operator="containsText" text="Error">
      <formula>NOT(ISERROR(SEARCH("Error",L5)))</formula>
    </cfRule>
    <cfRule type="containsText" dxfId="22" priority="2" operator="containsText" text="Age Not Found">
      <formula>NOT(ISERROR(SEARCH("Age Not Found",L5)))</formula>
    </cfRule>
    <cfRule type="containsText" dxfId="21" priority="3" operator="containsText" text="Beginning">
      <formula>NOT(ISERROR(SEARCH("Beginning",L5)))</formula>
    </cfRule>
    <cfRule type="containsText" dxfId="20" priority="4" operator="containsText" text="Progressing">
      <formula>NOT(ISERROR(SEARCH("Progressing",L5)))</formula>
    </cfRule>
    <cfRule type="containsText" dxfId="19" priority="5" operator="containsText" text="Achieving">
      <formula>NOT(ISERROR(SEARCH("Achieving",L5)))</formula>
    </cfRule>
    <cfRule type="containsText" dxfId="18" priority="6" operator="containsText" text="Excelling">
      <formula>NOT(ISERROR(SEARCH("Excelling",L5)))</formula>
    </cfRule>
  </conditionalFormatting>
  <dataValidations count="2">
    <dataValidation type="list" allowBlank="1" sqref="L5:L34" xr:uid="{1517D70C-9AA1-4532-96A1-CFE0AE7079F5}">
      <formula1>$A$48:$A$52</formula1>
    </dataValidation>
    <dataValidation type="list" allowBlank="1" showInputMessage="1" showErrorMessage="1" sqref="B5:I34" xr:uid="{393E51DD-A2FC-4300-B6D3-9947EC466EFF}">
      <formula1>"1, 0"</formula1>
    </dataValidation>
  </dataValidation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D2EB3-1F1E-492E-927A-3875B5192F95}">
  <sheetPr codeName="Sheet15"/>
  <dimension ref="A1:F9"/>
  <sheetViews>
    <sheetView zoomScale="70" zoomScaleNormal="70" workbookViewId="0">
      <selection activeCell="K6" sqref="K6"/>
    </sheetView>
  </sheetViews>
  <sheetFormatPr defaultRowHeight="13.2" x14ac:dyDescent="0.25"/>
  <cols>
    <col min="1" max="6" width="24.21875" customWidth="1"/>
  </cols>
  <sheetData>
    <row r="1" spans="1:6" x14ac:dyDescent="0.25">
      <c r="A1" s="473" t="s">
        <v>257</v>
      </c>
      <c r="B1" s="473"/>
      <c r="C1" s="473"/>
      <c r="D1" s="473"/>
      <c r="E1" s="473"/>
      <c r="F1" s="473"/>
    </row>
    <row r="2" spans="1:6" x14ac:dyDescent="0.25">
      <c r="A2" s="473"/>
      <c r="B2" s="473"/>
      <c r="C2" s="473"/>
      <c r="D2" s="473"/>
      <c r="E2" s="473"/>
      <c r="F2" s="473"/>
    </row>
    <row r="3" spans="1:6" x14ac:dyDescent="0.25">
      <c r="A3" s="474"/>
      <c r="B3" s="474"/>
      <c r="C3" s="474"/>
      <c r="D3" s="474"/>
      <c r="E3" s="474"/>
      <c r="F3" s="474"/>
    </row>
    <row r="4" spans="1:6" ht="31.8" thickBot="1" x14ac:dyDescent="0.3">
      <c r="A4" s="237" t="s">
        <v>227</v>
      </c>
      <c r="B4" s="238" t="s">
        <v>252</v>
      </c>
      <c r="C4" s="238" t="s">
        <v>253</v>
      </c>
      <c r="D4" s="238" t="s">
        <v>254</v>
      </c>
      <c r="E4" s="238" t="s">
        <v>255</v>
      </c>
      <c r="F4" s="239" t="s">
        <v>256</v>
      </c>
    </row>
    <row r="5" spans="1:6" ht="47.4" thickBot="1" x14ac:dyDescent="0.3">
      <c r="A5" s="240" t="s">
        <v>228</v>
      </c>
      <c r="B5" s="236" t="s">
        <v>229</v>
      </c>
      <c r="C5" s="236" t="s">
        <v>230</v>
      </c>
      <c r="D5" s="236" t="s">
        <v>231</v>
      </c>
      <c r="E5" s="236" t="s">
        <v>232</v>
      </c>
      <c r="F5" s="241" t="s">
        <v>233</v>
      </c>
    </row>
    <row r="6" spans="1:6" ht="47.4" thickBot="1" x14ac:dyDescent="0.3">
      <c r="A6" s="240" t="s">
        <v>234</v>
      </c>
      <c r="B6" s="236" t="s">
        <v>235</v>
      </c>
      <c r="C6" s="236" t="s">
        <v>236</v>
      </c>
      <c r="D6" s="236" t="s">
        <v>237</v>
      </c>
      <c r="E6" s="236" t="s">
        <v>238</v>
      </c>
      <c r="F6" s="241" t="s">
        <v>239</v>
      </c>
    </row>
    <row r="7" spans="1:6" ht="47.4" thickBot="1" x14ac:dyDescent="0.3">
      <c r="A7" s="240" t="s">
        <v>240</v>
      </c>
      <c r="B7" s="236" t="s">
        <v>241</v>
      </c>
      <c r="C7" s="236" t="s">
        <v>242</v>
      </c>
      <c r="D7" s="236" t="s">
        <v>243</v>
      </c>
      <c r="E7" s="236" t="s">
        <v>244</v>
      </c>
      <c r="F7" s="241" t="s">
        <v>245</v>
      </c>
    </row>
    <row r="8" spans="1:6" ht="46.8" x14ac:dyDescent="0.25">
      <c r="A8" s="242" t="s">
        <v>246</v>
      </c>
      <c r="B8" s="243" t="s">
        <v>247</v>
      </c>
      <c r="C8" s="243" t="s">
        <v>248</v>
      </c>
      <c r="D8" s="243" t="s">
        <v>249</v>
      </c>
      <c r="E8" s="243" t="s">
        <v>250</v>
      </c>
      <c r="F8" s="244" t="s">
        <v>251</v>
      </c>
    </row>
    <row r="9" spans="1:6" ht="15.6" x14ac:dyDescent="0.25">
      <c r="A9" s="245"/>
    </row>
  </sheetData>
  <mergeCells count="1">
    <mergeCell ref="A1:F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55136-719D-4B9F-BCA9-E35DB469BAD8}">
  <sheetPr codeName="Sheet20"/>
  <dimension ref="A1:E27"/>
  <sheetViews>
    <sheetView workbookViewId="0">
      <selection activeCell="J14" sqref="J14"/>
    </sheetView>
  </sheetViews>
  <sheetFormatPr defaultRowHeight="13.2" x14ac:dyDescent="0.25"/>
  <cols>
    <col min="1" max="1" width="25.6640625" bestFit="1" customWidth="1"/>
    <col min="2" max="4" width="10.88671875" bestFit="1" customWidth="1"/>
    <col min="5" max="5" width="11.88671875" bestFit="1" customWidth="1"/>
  </cols>
  <sheetData>
    <row r="1" spans="1:5" x14ac:dyDescent="0.25">
      <c r="A1" t="s">
        <v>213</v>
      </c>
      <c r="B1" t="s">
        <v>214</v>
      </c>
      <c r="C1" t="s">
        <v>215</v>
      </c>
      <c r="D1" t="s">
        <v>216</v>
      </c>
      <c r="E1" t="s">
        <v>217</v>
      </c>
    </row>
    <row r="2" spans="1:5" x14ac:dyDescent="0.25">
      <c r="D2" t="s">
        <v>218</v>
      </c>
      <c r="E2" t="s">
        <v>218</v>
      </c>
    </row>
    <row r="3" spans="1:5" x14ac:dyDescent="0.25">
      <c r="D3" t="s">
        <v>218</v>
      </c>
      <c r="E3" t="s">
        <v>218</v>
      </c>
    </row>
    <row r="4" spans="1:5" x14ac:dyDescent="0.25">
      <c r="D4" t="s">
        <v>218</v>
      </c>
      <c r="E4" t="s">
        <v>218</v>
      </c>
    </row>
    <row r="5" spans="1:5" x14ac:dyDescent="0.25">
      <c r="D5" t="s">
        <v>218</v>
      </c>
      <c r="E5" t="s">
        <v>218</v>
      </c>
    </row>
    <row r="6" spans="1:5" x14ac:dyDescent="0.25">
      <c r="D6" t="s">
        <v>218</v>
      </c>
      <c r="E6" t="s">
        <v>218</v>
      </c>
    </row>
    <row r="7" spans="1:5" x14ac:dyDescent="0.25">
      <c r="D7" t="s">
        <v>218</v>
      </c>
      <c r="E7" t="s">
        <v>218</v>
      </c>
    </row>
    <row r="8" spans="1:5" x14ac:dyDescent="0.25">
      <c r="D8" t="s">
        <v>218</v>
      </c>
      <c r="E8" t="s">
        <v>218</v>
      </c>
    </row>
    <row r="9" spans="1:5" x14ac:dyDescent="0.25">
      <c r="D9" t="s">
        <v>218</v>
      </c>
      <c r="E9" t="s">
        <v>218</v>
      </c>
    </row>
    <row r="10" spans="1:5" x14ac:dyDescent="0.25">
      <c r="D10" t="s">
        <v>218</v>
      </c>
      <c r="E10" t="s">
        <v>218</v>
      </c>
    </row>
    <row r="11" spans="1:5" x14ac:dyDescent="0.25">
      <c r="D11" t="s">
        <v>218</v>
      </c>
      <c r="E11" t="s">
        <v>218</v>
      </c>
    </row>
    <row r="12" spans="1:5" x14ac:dyDescent="0.25">
      <c r="D12" t="s">
        <v>218</v>
      </c>
      <c r="E12" t="s">
        <v>218</v>
      </c>
    </row>
    <row r="13" spans="1:5" x14ac:dyDescent="0.25">
      <c r="D13" t="s">
        <v>218</v>
      </c>
      <c r="E13" t="s">
        <v>218</v>
      </c>
    </row>
    <row r="14" spans="1:5" x14ac:dyDescent="0.25">
      <c r="D14" t="s">
        <v>218</v>
      </c>
      <c r="E14" t="s">
        <v>218</v>
      </c>
    </row>
    <row r="15" spans="1:5" x14ac:dyDescent="0.25">
      <c r="D15" t="s">
        <v>218</v>
      </c>
      <c r="E15" t="s">
        <v>218</v>
      </c>
    </row>
    <row r="16" spans="1:5" x14ac:dyDescent="0.25">
      <c r="D16" t="s">
        <v>218</v>
      </c>
      <c r="E16" t="s">
        <v>218</v>
      </c>
    </row>
    <row r="17" spans="4:5" x14ac:dyDescent="0.25">
      <c r="D17" t="s">
        <v>218</v>
      </c>
      <c r="E17" t="s">
        <v>218</v>
      </c>
    </row>
    <row r="18" spans="4:5" x14ac:dyDescent="0.25">
      <c r="D18" t="s">
        <v>218</v>
      </c>
      <c r="E18" t="s">
        <v>218</v>
      </c>
    </row>
    <row r="19" spans="4:5" x14ac:dyDescent="0.25">
      <c r="D19" t="s">
        <v>218</v>
      </c>
      <c r="E19" t="s">
        <v>218</v>
      </c>
    </row>
    <row r="20" spans="4:5" x14ac:dyDescent="0.25">
      <c r="D20" t="s">
        <v>218</v>
      </c>
      <c r="E20" t="s">
        <v>218</v>
      </c>
    </row>
    <row r="21" spans="4:5" x14ac:dyDescent="0.25">
      <c r="D21" t="s">
        <v>218</v>
      </c>
      <c r="E21" t="s">
        <v>218</v>
      </c>
    </row>
    <row r="22" spans="4:5" x14ac:dyDescent="0.25">
      <c r="D22" t="s">
        <v>218</v>
      </c>
      <c r="E22" t="s">
        <v>218</v>
      </c>
    </row>
    <row r="23" spans="4:5" x14ac:dyDescent="0.25">
      <c r="D23" t="s">
        <v>218</v>
      </c>
      <c r="E23" t="s">
        <v>218</v>
      </c>
    </row>
    <row r="24" spans="4:5" x14ac:dyDescent="0.25">
      <c r="D24" t="s">
        <v>218</v>
      </c>
      <c r="E24" t="s">
        <v>218</v>
      </c>
    </row>
    <row r="25" spans="4:5" x14ac:dyDescent="0.25">
      <c r="D25" t="s">
        <v>218</v>
      </c>
      <c r="E25" t="s">
        <v>218</v>
      </c>
    </row>
    <row r="26" spans="4:5" x14ac:dyDescent="0.25">
      <c r="D26" t="s">
        <v>218</v>
      </c>
      <c r="E26" t="s">
        <v>218</v>
      </c>
    </row>
    <row r="27" spans="4:5" x14ac:dyDescent="0.25">
      <c r="D27" t="s">
        <v>218</v>
      </c>
      <c r="E27" t="s">
        <v>218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6545A-05CB-4FA1-99B6-F1AE93FC7D85}">
  <sheetPr codeName="Sheet16"/>
  <dimension ref="A1:CF31"/>
  <sheetViews>
    <sheetView tabSelected="1" workbookViewId="0">
      <selection activeCell="BW23" sqref="BW23"/>
    </sheetView>
  </sheetViews>
  <sheetFormatPr defaultRowHeight="13.2" x14ac:dyDescent="0.25"/>
  <sheetData>
    <row r="1" spans="1:84" x14ac:dyDescent="0.25">
      <c r="A1" t="s">
        <v>4</v>
      </c>
      <c r="B1" t="s">
        <v>182</v>
      </c>
      <c r="C1" t="s">
        <v>5</v>
      </c>
      <c r="D1" t="s">
        <v>26</v>
      </c>
      <c r="E1" t="s">
        <v>27</v>
      </c>
      <c r="F1" t="s">
        <v>28</v>
      </c>
      <c r="G1" t="s">
        <v>29</v>
      </c>
      <c r="H1" t="s">
        <v>30</v>
      </c>
      <c r="I1" t="s">
        <v>50</v>
      </c>
      <c r="J1" t="s">
        <v>51</v>
      </c>
      <c r="K1" t="s">
        <v>52</v>
      </c>
      <c r="L1" t="s">
        <v>53</v>
      </c>
      <c r="M1" t="s">
        <v>54</v>
      </c>
      <c r="N1" t="s">
        <v>58</v>
      </c>
      <c r="O1" t="s">
        <v>59</v>
      </c>
      <c r="P1" t="s">
        <v>60</v>
      </c>
      <c r="Q1" t="s">
        <v>61</v>
      </c>
      <c r="R1" t="s">
        <v>62</v>
      </c>
      <c r="S1" t="s">
        <v>66</v>
      </c>
      <c r="T1" t="s">
        <v>67</v>
      </c>
      <c r="U1" t="s">
        <v>68</v>
      </c>
      <c r="V1" t="s">
        <v>69</v>
      </c>
      <c r="W1" t="s">
        <v>70</v>
      </c>
      <c r="X1" t="s">
        <v>74</v>
      </c>
      <c r="Y1" t="s">
        <v>75</v>
      </c>
      <c r="Z1" t="s">
        <v>76</v>
      </c>
      <c r="AA1" t="s">
        <v>77</v>
      </c>
      <c r="AB1" t="s">
        <v>78</v>
      </c>
      <c r="AC1" t="s">
        <v>79</v>
      </c>
      <c r="AD1" t="s">
        <v>85</v>
      </c>
      <c r="AE1" t="s">
        <v>86</v>
      </c>
      <c r="AF1" t="s">
        <v>87</v>
      </c>
      <c r="AG1" t="s">
        <v>88</v>
      </c>
      <c r="AH1" t="s">
        <v>89</v>
      </c>
      <c r="AI1" t="s">
        <v>90</v>
      </c>
      <c r="AJ1" t="s">
        <v>94</v>
      </c>
      <c r="AK1" t="s">
        <v>95</v>
      </c>
      <c r="AL1" t="s">
        <v>96</v>
      </c>
      <c r="AM1" t="s">
        <v>97</v>
      </c>
      <c r="AN1" t="s">
        <v>98</v>
      </c>
      <c r="AO1" t="s">
        <v>99</v>
      </c>
      <c r="AP1" t="s">
        <v>100</v>
      </c>
      <c r="AQ1" t="s">
        <v>105</v>
      </c>
      <c r="AR1" t="s">
        <v>106</v>
      </c>
      <c r="AS1" t="s">
        <v>107</v>
      </c>
      <c r="AT1" t="s">
        <v>108</v>
      </c>
      <c r="AU1" t="s">
        <v>109</v>
      </c>
      <c r="AV1" t="s">
        <v>110</v>
      </c>
      <c r="AW1" t="s">
        <v>111</v>
      </c>
      <c r="AX1" t="s">
        <v>112</v>
      </c>
      <c r="AY1" t="s">
        <v>117</v>
      </c>
      <c r="AZ1" t="s">
        <v>118</v>
      </c>
      <c r="BA1" t="s">
        <v>119</v>
      </c>
      <c r="BB1" t="s">
        <v>120</v>
      </c>
      <c r="BC1" t="s">
        <v>121</v>
      </c>
      <c r="BD1" t="s">
        <v>126</v>
      </c>
      <c r="BE1" t="s">
        <v>127</v>
      </c>
      <c r="BF1" t="s">
        <v>128</v>
      </c>
      <c r="BG1" t="s">
        <v>129</v>
      </c>
      <c r="BH1" t="s">
        <v>130</v>
      </c>
      <c r="BI1" t="s">
        <v>131</v>
      </c>
      <c r="BJ1" t="s">
        <v>132</v>
      </c>
      <c r="BK1" t="s">
        <v>133</v>
      </c>
      <c r="BL1" t="s">
        <v>126</v>
      </c>
      <c r="BM1" t="s">
        <v>139</v>
      </c>
      <c r="BN1" t="s">
        <v>140</v>
      </c>
      <c r="BO1" t="s">
        <v>141</v>
      </c>
      <c r="BP1" t="s">
        <v>142</v>
      </c>
      <c r="BQ1" t="s">
        <v>143</v>
      </c>
      <c r="BR1" t="s">
        <v>144</v>
      </c>
      <c r="BS1" t="s">
        <v>153</v>
      </c>
      <c r="BT1" t="s">
        <v>154</v>
      </c>
      <c r="BU1" t="s">
        <v>155</v>
      </c>
      <c r="BV1" t="s">
        <v>156</v>
      </c>
      <c r="BW1" s="188" t="s">
        <v>198</v>
      </c>
      <c r="BX1" t="s">
        <v>174</v>
      </c>
      <c r="BY1" t="s">
        <v>175</v>
      </c>
      <c r="BZ1" t="s">
        <v>176</v>
      </c>
      <c r="CA1" t="s">
        <v>177</v>
      </c>
      <c r="CB1" t="s">
        <v>174</v>
      </c>
      <c r="CC1" t="s">
        <v>175</v>
      </c>
      <c r="CD1" t="s">
        <v>176</v>
      </c>
      <c r="CE1" t="s">
        <v>177</v>
      </c>
      <c r="CF1" t="s">
        <v>220</v>
      </c>
    </row>
    <row r="2" spans="1:84" x14ac:dyDescent="0.25">
      <c r="A2" t="str">
        <f>'Class List'!A5</f>
        <v>Student</v>
      </c>
      <c r="B2" t="str">
        <f>'Class List'!B5</f>
        <v>m</v>
      </c>
      <c r="C2">
        <f>'Class List'!C5</f>
        <v>9</v>
      </c>
      <c r="D2">
        <f>'Run'!B5</f>
        <v>1</v>
      </c>
      <c r="E2">
        <f>'Run'!C5</f>
        <v>1</v>
      </c>
      <c r="F2">
        <f>'Run'!D5</f>
        <v>1</v>
      </c>
      <c r="G2">
        <f>'Run'!E5</f>
        <v>1</v>
      </c>
      <c r="H2">
        <f>'Run'!F5</f>
        <v>1</v>
      </c>
      <c r="I2">
        <f>'Vertical Jump'!B5</f>
        <v>1</v>
      </c>
      <c r="J2">
        <f>'Vertical Jump'!C5</f>
        <v>1</v>
      </c>
      <c r="K2">
        <f>'Vertical Jump'!D5</f>
        <v>1</v>
      </c>
      <c r="L2">
        <f>'Vertical Jump'!E5</f>
        <v>1</v>
      </c>
      <c r="M2">
        <f>'Vertical Jump'!F5</f>
        <v>0</v>
      </c>
      <c r="N2">
        <f>Leap!B5</f>
        <v>1</v>
      </c>
      <c r="O2">
        <f>Leap!C5</f>
        <v>1</v>
      </c>
      <c r="P2">
        <f>Leap!D5</f>
        <v>1</v>
      </c>
      <c r="Q2">
        <f>Leap!E5</f>
        <v>1</v>
      </c>
      <c r="R2">
        <f>Leap!F5</f>
        <v>1</v>
      </c>
      <c r="S2">
        <f>Dodge!B5</f>
        <v>1</v>
      </c>
      <c r="T2">
        <f>Dodge!C5</f>
        <v>1</v>
      </c>
      <c r="U2">
        <f>Dodge!D5</f>
        <v>1</v>
      </c>
      <c r="V2">
        <f>Dodge!E5</f>
        <v>1</v>
      </c>
      <c r="W2">
        <f>Dodge!F5</f>
        <v>1</v>
      </c>
      <c r="X2">
        <f>Catch!B5</f>
        <v>1</v>
      </c>
      <c r="Y2">
        <f>Catch!C5</f>
        <v>1</v>
      </c>
      <c r="Z2">
        <f>Catch!D5</f>
        <v>1</v>
      </c>
      <c r="AA2">
        <f>Catch!E5</f>
        <v>1</v>
      </c>
      <c r="AB2">
        <f>Catch!F5</f>
        <v>0</v>
      </c>
      <c r="AC2">
        <f>Catch!G5</f>
        <v>0</v>
      </c>
      <c r="AD2">
        <f>'Overhand throw'!B5</f>
        <v>1</v>
      </c>
      <c r="AE2">
        <f>'Overhand throw'!C5</f>
        <v>1</v>
      </c>
      <c r="AF2">
        <f>'Overhand throw'!D5</f>
        <v>1</v>
      </c>
      <c r="AG2">
        <f>'Overhand throw'!E5</f>
        <v>1</v>
      </c>
      <c r="AH2">
        <f>'Overhand throw'!F5</f>
        <v>1</v>
      </c>
      <c r="AI2">
        <f>'Overhand throw'!G5</f>
        <v>1</v>
      </c>
      <c r="AJ2">
        <f>Kick!B5</f>
        <v>0</v>
      </c>
      <c r="AK2">
        <f>Kick!C5</f>
        <v>0</v>
      </c>
      <c r="AL2">
        <f>Kick!D5</f>
        <v>0</v>
      </c>
      <c r="AM2">
        <f>Kick!E5</f>
        <v>1</v>
      </c>
      <c r="AN2">
        <f>Kick!F5</f>
        <v>1</v>
      </c>
      <c r="AO2">
        <f>Kick!G5</f>
        <v>1</v>
      </c>
      <c r="AP2">
        <f>Kick!H5</f>
        <v>1</v>
      </c>
      <c r="AQ2">
        <f>Punt!B5</f>
        <v>1</v>
      </c>
      <c r="AR2">
        <f>Punt!C5</f>
        <v>1</v>
      </c>
      <c r="AS2">
        <f>Punt!D5</f>
        <v>1</v>
      </c>
      <c r="AT2">
        <f>Punt!E5</f>
        <v>1</v>
      </c>
      <c r="AU2">
        <f>Punt!F5</f>
        <v>1</v>
      </c>
      <c r="AV2">
        <f>Punt!G5</f>
        <v>1</v>
      </c>
      <c r="AW2">
        <f>Punt!H5</f>
        <v>0</v>
      </c>
      <c r="AX2">
        <f>Punt!I5</f>
        <v>0</v>
      </c>
      <c r="AY2">
        <f>Bounce!B5</f>
        <v>1</v>
      </c>
      <c r="AZ2">
        <f>Bounce!C5</f>
        <v>0</v>
      </c>
      <c r="BA2">
        <f>Bounce!D5</f>
        <v>0</v>
      </c>
      <c r="BB2">
        <f>Bounce!E5</f>
        <v>0</v>
      </c>
      <c r="BC2">
        <f>Bounce!F5</f>
        <v>1</v>
      </c>
      <c r="BD2">
        <f>'Two-handed strike'!B5</f>
        <v>0</v>
      </c>
      <c r="BE2">
        <f>'Two-handed strike'!C5</f>
        <v>0</v>
      </c>
      <c r="BF2">
        <f>'Two-handed strike'!D5</f>
        <v>1</v>
      </c>
      <c r="BG2">
        <f>'Two-handed strike'!E5</f>
        <v>1</v>
      </c>
      <c r="BH2">
        <f>'Two-handed strike'!F5</f>
        <v>1</v>
      </c>
      <c r="BI2">
        <f>'Two-handed strike'!G5</f>
        <v>1</v>
      </c>
      <c r="BJ2">
        <f>'Two-handed strike'!H5</f>
        <v>1</v>
      </c>
      <c r="BK2">
        <f>'Two-handed strike'!I5</f>
        <v>1</v>
      </c>
      <c r="BL2">
        <f>'Forehand strike'!B5</f>
        <v>1</v>
      </c>
      <c r="BM2">
        <f>'Forehand strike'!C5</f>
        <v>0</v>
      </c>
      <c r="BN2">
        <f>'Forehand strike'!D5</f>
        <v>0</v>
      </c>
      <c r="BO2">
        <f>'Forehand strike'!E5</f>
        <v>0</v>
      </c>
      <c r="BP2">
        <f>'Forehand strike'!F5</f>
        <v>0</v>
      </c>
      <c r="BQ2">
        <f>'Forehand strike'!G5</f>
        <v>0</v>
      </c>
      <c r="BR2">
        <f>'Forehand strike'!H5</f>
        <v>0</v>
      </c>
      <c r="BS2">
        <f>Gymnastics!B5</f>
        <v>3</v>
      </c>
      <c r="BT2">
        <f>Gymnastics!C5</f>
        <v>3</v>
      </c>
      <c r="BU2">
        <f>Gymnastics!D5</f>
        <v>4</v>
      </c>
      <c r="BV2">
        <f>Gymnastics!E5</f>
        <v>1</v>
      </c>
      <c r="BW2">
        <f>IFERROR(
    INDEX('ASTS 2+3'!A:L, MATCH(A2, 'ASTS 2+3'!A:A, 0), 3),
    IFERROR(
        INDEX('ASTS 2+3'!J:L, MATCH(A2, 'ASTS 2+3'!J:J, 0), 3),
    "")
)</f>
        <v>33</v>
      </c>
      <c r="BX2">
        <f>'Rock to stand'!B5</f>
        <v>1</v>
      </c>
      <c r="BY2">
        <f>'Rock to stand'!C5</f>
        <v>1</v>
      </c>
      <c r="BZ2">
        <f>'Rock to stand'!D5</f>
        <v>0</v>
      </c>
      <c r="CA2">
        <f>'Rock to stand'!E5</f>
        <v>1</v>
      </c>
      <c r="CB2">
        <f>'Rock to stand'!F5</f>
        <v>1</v>
      </c>
      <c r="CC2">
        <f>'Rock to stand'!G5</f>
        <v>1</v>
      </c>
      <c r="CD2">
        <f>'Rock to stand'!H5</f>
        <v>0</v>
      </c>
      <c r="CE2">
        <f>'Rock to stand'!I5</f>
        <v>0</v>
      </c>
    </row>
    <row r="3" spans="1:84" x14ac:dyDescent="0.25">
      <c r="A3" t="str">
        <f>'Class List'!A6</f>
        <v>Student</v>
      </c>
      <c r="B3" t="str">
        <f>'Class List'!B6</f>
        <v>f</v>
      </c>
      <c r="C3">
        <f>'Class List'!C6</f>
        <v>10</v>
      </c>
      <c r="D3">
        <f>'Run'!B6</f>
        <v>0</v>
      </c>
      <c r="E3">
        <f>'Run'!C6</f>
        <v>0</v>
      </c>
      <c r="F3">
        <f>'Run'!D6</f>
        <v>0</v>
      </c>
      <c r="G3">
        <f>'Run'!E6</f>
        <v>0</v>
      </c>
      <c r="H3">
        <f>'Run'!F6</f>
        <v>0</v>
      </c>
      <c r="I3">
        <f>'Vertical Jump'!B6</f>
        <v>0</v>
      </c>
      <c r="J3">
        <f>'Vertical Jump'!C6</f>
        <v>0</v>
      </c>
      <c r="K3">
        <f>'Vertical Jump'!D6</f>
        <v>0</v>
      </c>
      <c r="L3">
        <f>'Vertical Jump'!E6</f>
        <v>0</v>
      </c>
      <c r="M3">
        <f>'Vertical Jump'!F6</f>
        <v>0</v>
      </c>
      <c r="N3">
        <f>Leap!B6</f>
        <v>0</v>
      </c>
      <c r="O3">
        <f>Leap!C6</f>
        <v>0</v>
      </c>
      <c r="P3">
        <f>Leap!D6</f>
        <v>0</v>
      </c>
      <c r="Q3">
        <f>Leap!E6</f>
        <v>0</v>
      </c>
      <c r="R3">
        <f>Leap!F6</f>
        <v>0</v>
      </c>
      <c r="S3">
        <f>Dodge!B6</f>
        <v>0</v>
      </c>
      <c r="T3">
        <f>Dodge!C6</f>
        <v>0</v>
      </c>
      <c r="U3">
        <f>Dodge!D6</f>
        <v>0</v>
      </c>
      <c r="V3">
        <f>Dodge!E6</f>
        <v>0</v>
      </c>
      <c r="W3">
        <f>Dodge!F6</f>
        <v>0</v>
      </c>
      <c r="X3">
        <f>Catch!B6</f>
        <v>0</v>
      </c>
      <c r="Y3">
        <f>Catch!C6</f>
        <v>0</v>
      </c>
      <c r="Z3">
        <f>Catch!D6</f>
        <v>0</v>
      </c>
      <c r="AA3">
        <f>Catch!E6</f>
        <v>0</v>
      </c>
      <c r="AB3">
        <f>Catch!F6</f>
        <v>0</v>
      </c>
      <c r="AC3">
        <f>Catch!G6</f>
        <v>0</v>
      </c>
      <c r="AD3">
        <f>'Overhand throw'!B6</f>
        <v>0</v>
      </c>
      <c r="AE3">
        <f>'Overhand throw'!C6</f>
        <v>0</v>
      </c>
      <c r="AF3">
        <f>'Overhand throw'!D6</f>
        <v>0</v>
      </c>
      <c r="AG3">
        <f>'Overhand throw'!E6</f>
        <v>0</v>
      </c>
      <c r="AH3">
        <f>'Overhand throw'!F6</f>
        <v>0</v>
      </c>
      <c r="AI3">
        <f>'Overhand throw'!G6</f>
        <v>0</v>
      </c>
      <c r="AJ3">
        <f>Kick!B6</f>
        <v>0</v>
      </c>
      <c r="AK3">
        <f>Kick!C6</f>
        <v>0</v>
      </c>
      <c r="AL3">
        <f>Kick!D6</f>
        <v>0</v>
      </c>
      <c r="AM3">
        <f>Kick!E6</f>
        <v>0</v>
      </c>
      <c r="AN3">
        <f>Kick!F6</f>
        <v>0</v>
      </c>
      <c r="AO3">
        <f>Kick!G6</f>
        <v>0</v>
      </c>
      <c r="AP3">
        <f>Kick!H6</f>
        <v>1</v>
      </c>
      <c r="AQ3">
        <f>Punt!B6</f>
        <v>0</v>
      </c>
      <c r="AR3">
        <f>Punt!C6</f>
        <v>0</v>
      </c>
      <c r="AS3">
        <f>Punt!D6</f>
        <v>0</v>
      </c>
      <c r="AT3">
        <f>Punt!E6</f>
        <v>0</v>
      </c>
      <c r="AU3">
        <f>Punt!F6</f>
        <v>0</v>
      </c>
      <c r="AV3">
        <f>Punt!G6</f>
        <v>0</v>
      </c>
      <c r="AW3">
        <f>Punt!H6</f>
        <v>0</v>
      </c>
      <c r="AX3">
        <f>Punt!I6</f>
        <v>0</v>
      </c>
      <c r="AY3">
        <f>Bounce!B6</f>
        <v>1</v>
      </c>
      <c r="AZ3">
        <f>Bounce!C6</f>
        <v>1</v>
      </c>
      <c r="BA3">
        <f>Bounce!D6</f>
        <v>1</v>
      </c>
      <c r="BB3">
        <f>Bounce!E6</f>
        <v>1</v>
      </c>
      <c r="BC3">
        <f>Bounce!F6</f>
        <v>1</v>
      </c>
      <c r="BD3">
        <f>'Two-handed strike'!B6</f>
        <v>0</v>
      </c>
      <c r="BE3">
        <f>'Two-handed strike'!C6</f>
        <v>0</v>
      </c>
      <c r="BF3">
        <f>'Two-handed strike'!D6</f>
        <v>0</v>
      </c>
      <c r="BG3">
        <f>'Two-handed strike'!E6</f>
        <v>0</v>
      </c>
      <c r="BH3">
        <f>'Two-handed strike'!F6</f>
        <v>0</v>
      </c>
      <c r="BI3">
        <f>'Two-handed strike'!G6</f>
        <v>0</v>
      </c>
      <c r="BJ3">
        <f>'Two-handed strike'!H6</f>
        <v>0</v>
      </c>
      <c r="BK3">
        <f>'Two-handed strike'!I6</f>
        <v>0</v>
      </c>
      <c r="BL3">
        <f>'Forehand strike'!B6</f>
        <v>0</v>
      </c>
      <c r="BM3">
        <f>'Forehand strike'!C6</f>
        <v>0</v>
      </c>
      <c r="BN3">
        <f>'Forehand strike'!D6</f>
        <v>0</v>
      </c>
      <c r="BO3">
        <f>'Forehand strike'!E6</f>
        <v>0</v>
      </c>
      <c r="BP3">
        <f>'Forehand strike'!F6</f>
        <v>0</v>
      </c>
      <c r="BQ3">
        <f>'Forehand strike'!G6</f>
        <v>0</v>
      </c>
      <c r="BR3">
        <f>'Forehand strike'!H6</f>
        <v>0</v>
      </c>
      <c r="BS3">
        <f>Gymnastics!B6</f>
        <v>4</v>
      </c>
      <c r="BT3">
        <f>Gymnastics!C6</f>
        <v>4</v>
      </c>
      <c r="BU3">
        <f>Gymnastics!D6</f>
        <v>3</v>
      </c>
      <c r="BV3">
        <f>Gymnastics!E6</f>
        <v>1</v>
      </c>
      <c r="BW3">
        <f>IFERROR(
    INDEX('ASTS 2+3'!A:L, MATCH(A3, 'ASTS 2+3'!A:A, 0), 3),
    IFERROR(
        INDEX('ASTS 2+3'!J:L, MATCH(A3, 'ASTS 2+3'!J:J, 0), 3),
    "")
)</f>
        <v>33</v>
      </c>
      <c r="BX3">
        <f>'Rock to stand'!B6</f>
        <v>0</v>
      </c>
      <c r="BY3">
        <f>'Rock to stand'!C6</f>
        <v>0</v>
      </c>
      <c r="BZ3">
        <f>'Rock to stand'!D6</f>
        <v>0</v>
      </c>
      <c r="CA3">
        <f>'Rock to stand'!E6</f>
        <v>0</v>
      </c>
      <c r="CB3">
        <f>'Rock to stand'!F6</f>
        <v>0</v>
      </c>
      <c r="CC3">
        <f>'Rock to stand'!G6</f>
        <v>0</v>
      </c>
      <c r="CD3">
        <f>'Rock to stand'!H6</f>
        <v>0</v>
      </c>
      <c r="CE3">
        <f>'Rock to stand'!I6</f>
        <v>0</v>
      </c>
    </row>
    <row r="4" spans="1:84" x14ac:dyDescent="0.25">
      <c r="A4" t="str">
        <f>'Class List'!A7</f>
        <v>Student</v>
      </c>
      <c r="B4" t="str">
        <f>'Class List'!B7</f>
        <v>m</v>
      </c>
      <c r="C4">
        <f>'Class List'!C7</f>
        <v>9</v>
      </c>
      <c r="D4">
        <f>'Run'!B7</f>
        <v>0</v>
      </c>
      <c r="E4">
        <f>'Run'!C7</f>
        <v>0</v>
      </c>
      <c r="F4">
        <f>'Run'!D7</f>
        <v>0</v>
      </c>
      <c r="G4">
        <f>'Run'!E7</f>
        <v>0</v>
      </c>
      <c r="H4">
        <f>'Run'!F7</f>
        <v>0</v>
      </c>
      <c r="I4">
        <f>'Vertical Jump'!B7</f>
        <v>0</v>
      </c>
      <c r="J4">
        <f>'Vertical Jump'!C7</f>
        <v>0</v>
      </c>
      <c r="K4">
        <f>'Vertical Jump'!D7</f>
        <v>0</v>
      </c>
      <c r="L4">
        <f>'Vertical Jump'!E7</f>
        <v>0</v>
      </c>
      <c r="M4">
        <f>'Vertical Jump'!F7</f>
        <v>0</v>
      </c>
      <c r="N4">
        <f>Leap!B7</f>
        <v>0</v>
      </c>
      <c r="O4">
        <f>Leap!C7</f>
        <v>0</v>
      </c>
      <c r="P4">
        <f>Leap!D7</f>
        <v>0</v>
      </c>
      <c r="Q4">
        <f>Leap!E7</f>
        <v>0</v>
      </c>
      <c r="R4">
        <f>Leap!F7</f>
        <v>0</v>
      </c>
      <c r="S4">
        <f>Dodge!B7</f>
        <v>0</v>
      </c>
      <c r="T4">
        <f>Dodge!C7</f>
        <v>0</v>
      </c>
      <c r="U4">
        <f>Dodge!D7</f>
        <v>0</v>
      </c>
      <c r="V4">
        <f>Dodge!E7</f>
        <v>0</v>
      </c>
      <c r="W4">
        <f>Dodge!F7</f>
        <v>0</v>
      </c>
      <c r="X4">
        <f>Catch!B7</f>
        <v>0</v>
      </c>
      <c r="Y4">
        <f>Catch!C7</f>
        <v>0</v>
      </c>
      <c r="Z4">
        <f>Catch!D7</f>
        <v>0</v>
      </c>
      <c r="AA4">
        <f>Catch!E7</f>
        <v>0</v>
      </c>
      <c r="AB4">
        <f>Catch!F7</f>
        <v>0</v>
      </c>
      <c r="AC4">
        <f>Catch!G7</f>
        <v>0</v>
      </c>
      <c r="AD4">
        <f>'Overhand throw'!B7</f>
        <v>0</v>
      </c>
      <c r="AE4">
        <f>'Overhand throw'!C7</f>
        <v>0</v>
      </c>
      <c r="AF4">
        <f>'Overhand throw'!D7</f>
        <v>0</v>
      </c>
      <c r="AG4">
        <f>'Overhand throw'!E7</f>
        <v>0</v>
      </c>
      <c r="AH4">
        <f>'Overhand throw'!F7</f>
        <v>0</v>
      </c>
      <c r="AI4">
        <f>'Overhand throw'!G7</f>
        <v>0</v>
      </c>
      <c r="AJ4">
        <f>Kick!B7</f>
        <v>0</v>
      </c>
      <c r="AK4">
        <f>Kick!C7</f>
        <v>0</v>
      </c>
      <c r="AL4">
        <f>Kick!D7</f>
        <v>0</v>
      </c>
      <c r="AM4">
        <f>Kick!E7</f>
        <v>0</v>
      </c>
      <c r="AN4">
        <f>Kick!F7</f>
        <v>0</v>
      </c>
      <c r="AO4">
        <f>Kick!G7</f>
        <v>0</v>
      </c>
      <c r="AP4">
        <f>Kick!H7</f>
        <v>1</v>
      </c>
      <c r="AQ4">
        <f>Punt!B7</f>
        <v>0</v>
      </c>
      <c r="AR4">
        <f>Punt!C7</f>
        <v>0</v>
      </c>
      <c r="AS4">
        <f>Punt!D7</f>
        <v>0</v>
      </c>
      <c r="AT4">
        <f>Punt!E7</f>
        <v>0</v>
      </c>
      <c r="AU4">
        <f>Punt!F7</f>
        <v>0</v>
      </c>
      <c r="AV4">
        <f>Punt!G7</f>
        <v>0</v>
      </c>
      <c r="AW4">
        <f>Punt!H7</f>
        <v>0</v>
      </c>
      <c r="AX4">
        <f>Punt!I7</f>
        <v>0</v>
      </c>
      <c r="AY4">
        <f>Bounce!B7</f>
        <v>1</v>
      </c>
      <c r="AZ4">
        <f>Bounce!C7</f>
        <v>1</v>
      </c>
      <c r="BA4">
        <f>Bounce!D7</f>
        <v>1</v>
      </c>
      <c r="BB4">
        <f>Bounce!E7</f>
        <v>1</v>
      </c>
      <c r="BC4">
        <f>Bounce!F7</f>
        <v>1</v>
      </c>
      <c r="BD4">
        <f>'Two-handed strike'!B7</f>
        <v>0</v>
      </c>
      <c r="BE4">
        <f>'Two-handed strike'!C7</f>
        <v>0</v>
      </c>
      <c r="BF4">
        <f>'Two-handed strike'!D7</f>
        <v>0</v>
      </c>
      <c r="BG4">
        <f>'Two-handed strike'!E7</f>
        <v>0</v>
      </c>
      <c r="BH4">
        <f>'Two-handed strike'!F7</f>
        <v>0</v>
      </c>
      <c r="BI4">
        <f>'Two-handed strike'!G7</f>
        <v>0</v>
      </c>
      <c r="BJ4">
        <f>'Two-handed strike'!H7</f>
        <v>0</v>
      </c>
      <c r="BK4">
        <f>'Two-handed strike'!I7</f>
        <v>0</v>
      </c>
      <c r="BL4">
        <f>'Forehand strike'!B7</f>
        <v>0</v>
      </c>
      <c r="BM4">
        <f>'Forehand strike'!C7</f>
        <v>0</v>
      </c>
      <c r="BN4">
        <f>'Forehand strike'!D7</f>
        <v>0</v>
      </c>
      <c r="BO4">
        <f>'Forehand strike'!E7</f>
        <v>0</v>
      </c>
      <c r="BP4">
        <f>'Forehand strike'!F7</f>
        <v>0</v>
      </c>
      <c r="BQ4">
        <f>'Forehand strike'!G7</f>
        <v>0</v>
      </c>
      <c r="BR4">
        <f>'Forehand strike'!H7</f>
        <v>0</v>
      </c>
      <c r="BS4">
        <f>Gymnastics!B7</f>
        <v>4</v>
      </c>
      <c r="BT4">
        <f>Gymnastics!C7</f>
        <v>4</v>
      </c>
      <c r="BU4">
        <f>Gymnastics!D7</f>
        <v>4</v>
      </c>
      <c r="BV4">
        <f>Gymnastics!E7</f>
        <v>1</v>
      </c>
      <c r="BW4">
        <f>IFERROR(
    INDEX('ASTS 2+3'!A:L, MATCH(A4, 'ASTS 2+3'!A:A, 0), 3),
    IFERROR(
        INDEX('ASTS 2+3'!J:L, MATCH(A4, 'ASTS 2+3'!J:J, 0), 3),
    "")
)</f>
        <v>33</v>
      </c>
      <c r="BX4">
        <f>'Rock to stand'!B7</f>
        <v>0</v>
      </c>
      <c r="BY4">
        <f>'Rock to stand'!C7</f>
        <v>0</v>
      </c>
      <c r="BZ4">
        <f>'Rock to stand'!D7</f>
        <v>0</v>
      </c>
      <c r="CA4">
        <f>'Rock to stand'!E7</f>
        <v>0</v>
      </c>
      <c r="CB4">
        <f>'Rock to stand'!F7</f>
        <v>0</v>
      </c>
      <c r="CC4">
        <f>'Rock to stand'!G7</f>
        <v>0</v>
      </c>
      <c r="CD4">
        <f>'Rock to stand'!H7</f>
        <v>0</v>
      </c>
      <c r="CE4">
        <f>'Rock to stand'!I7</f>
        <v>0</v>
      </c>
    </row>
    <row r="5" spans="1:84" x14ac:dyDescent="0.25">
      <c r="A5" t="str">
        <f>'Class List'!A8</f>
        <v>Student</v>
      </c>
      <c r="B5" t="str">
        <f>'Class List'!B8</f>
        <v>m</v>
      </c>
      <c r="C5">
        <f>'Class List'!C8</f>
        <v>10</v>
      </c>
      <c r="D5">
        <f>'Run'!B8</f>
        <v>0</v>
      </c>
      <c r="E5">
        <f>'Run'!C8</f>
        <v>0</v>
      </c>
      <c r="F5">
        <f>'Run'!D8</f>
        <v>0</v>
      </c>
      <c r="G5">
        <f>'Run'!E8</f>
        <v>0</v>
      </c>
      <c r="H5">
        <f>'Run'!F8</f>
        <v>0</v>
      </c>
      <c r="I5">
        <f>'Vertical Jump'!B8</f>
        <v>0</v>
      </c>
      <c r="J5">
        <f>'Vertical Jump'!C8</f>
        <v>0</v>
      </c>
      <c r="K5">
        <f>'Vertical Jump'!D8</f>
        <v>0</v>
      </c>
      <c r="L5">
        <f>'Vertical Jump'!E8</f>
        <v>0</v>
      </c>
      <c r="M5">
        <f>'Vertical Jump'!F8</f>
        <v>0</v>
      </c>
      <c r="N5">
        <f>Leap!B8</f>
        <v>0</v>
      </c>
      <c r="O5">
        <f>Leap!C8</f>
        <v>0</v>
      </c>
      <c r="P5">
        <f>Leap!D8</f>
        <v>0</v>
      </c>
      <c r="Q5">
        <f>Leap!E8</f>
        <v>0</v>
      </c>
      <c r="R5">
        <f>Leap!F8</f>
        <v>0</v>
      </c>
      <c r="S5">
        <f>Dodge!B8</f>
        <v>0</v>
      </c>
      <c r="T5">
        <f>Dodge!C8</f>
        <v>0</v>
      </c>
      <c r="U5">
        <f>Dodge!D8</f>
        <v>0</v>
      </c>
      <c r="V5">
        <f>Dodge!E8</f>
        <v>0</v>
      </c>
      <c r="W5">
        <f>Dodge!F8</f>
        <v>0</v>
      </c>
      <c r="X5">
        <f>Catch!B8</f>
        <v>0</v>
      </c>
      <c r="Y5">
        <f>Catch!C8</f>
        <v>0</v>
      </c>
      <c r="Z5">
        <f>Catch!D8</f>
        <v>0</v>
      </c>
      <c r="AA5">
        <f>Catch!E8</f>
        <v>0</v>
      </c>
      <c r="AB5">
        <f>Catch!F8</f>
        <v>0</v>
      </c>
      <c r="AC5">
        <f>Catch!G8</f>
        <v>0</v>
      </c>
      <c r="AD5">
        <f>'Overhand throw'!B8</f>
        <v>0</v>
      </c>
      <c r="AE5">
        <f>'Overhand throw'!C8</f>
        <v>0</v>
      </c>
      <c r="AF5">
        <f>'Overhand throw'!D8</f>
        <v>0</v>
      </c>
      <c r="AG5">
        <f>'Overhand throw'!E8</f>
        <v>0</v>
      </c>
      <c r="AH5">
        <f>'Overhand throw'!F8</f>
        <v>0</v>
      </c>
      <c r="AI5">
        <f>'Overhand throw'!G8</f>
        <v>0</v>
      </c>
      <c r="AJ5">
        <f>Kick!B8</f>
        <v>0</v>
      </c>
      <c r="AK5">
        <f>Kick!C8</f>
        <v>0</v>
      </c>
      <c r="AL5">
        <f>Kick!D8</f>
        <v>0</v>
      </c>
      <c r="AM5">
        <f>Kick!E8</f>
        <v>0</v>
      </c>
      <c r="AN5">
        <f>Kick!F8</f>
        <v>0</v>
      </c>
      <c r="AO5">
        <f>Kick!G8</f>
        <v>0</v>
      </c>
      <c r="AP5">
        <f>Kick!H8</f>
        <v>1</v>
      </c>
      <c r="AQ5">
        <f>Punt!B8</f>
        <v>0</v>
      </c>
      <c r="AR5">
        <f>Punt!C8</f>
        <v>0</v>
      </c>
      <c r="AS5">
        <f>Punt!D8</f>
        <v>0</v>
      </c>
      <c r="AT5">
        <f>Punt!E8</f>
        <v>0</v>
      </c>
      <c r="AU5">
        <f>Punt!F8</f>
        <v>0</v>
      </c>
      <c r="AV5">
        <f>Punt!G8</f>
        <v>0</v>
      </c>
      <c r="AW5">
        <f>Punt!H8</f>
        <v>0</v>
      </c>
      <c r="AX5">
        <f>Punt!I8</f>
        <v>0</v>
      </c>
      <c r="AY5">
        <f>Bounce!B8</f>
        <v>1</v>
      </c>
      <c r="AZ5">
        <f>Bounce!C8</f>
        <v>1</v>
      </c>
      <c r="BA5">
        <f>Bounce!D8</f>
        <v>1</v>
      </c>
      <c r="BB5">
        <f>Bounce!E8</f>
        <v>1</v>
      </c>
      <c r="BC5">
        <f>Bounce!F8</f>
        <v>1</v>
      </c>
      <c r="BD5">
        <f>'Two-handed strike'!B8</f>
        <v>0</v>
      </c>
      <c r="BE5">
        <f>'Two-handed strike'!C8</f>
        <v>0</v>
      </c>
      <c r="BF5">
        <f>'Two-handed strike'!D8</f>
        <v>0</v>
      </c>
      <c r="BG5">
        <f>'Two-handed strike'!E8</f>
        <v>0</v>
      </c>
      <c r="BH5">
        <f>'Two-handed strike'!F8</f>
        <v>0</v>
      </c>
      <c r="BI5">
        <f>'Two-handed strike'!G8</f>
        <v>0</v>
      </c>
      <c r="BJ5">
        <f>'Two-handed strike'!H8</f>
        <v>0</v>
      </c>
      <c r="BK5">
        <f>'Two-handed strike'!I8</f>
        <v>0</v>
      </c>
      <c r="BL5">
        <f>'Forehand strike'!B8</f>
        <v>0</v>
      </c>
      <c r="BM5">
        <f>'Forehand strike'!C8</f>
        <v>0</v>
      </c>
      <c r="BN5">
        <f>'Forehand strike'!D8</f>
        <v>0</v>
      </c>
      <c r="BO5">
        <f>'Forehand strike'!E8</f>
        <v>0</v>
      </c>
      <c r="BP5">
        <f>'Forehand strike'!F8</f>
        <v>0</v>
      </c>
      <c r="BQ5">
        <f>'Forehand strike'!G8</f>
        <v>0</v>
      </c>
      <c r="BR5">
        <f>'Forehand strike'!H8</f>
        <v>0</v>
      </c>
      <c r="BS5">
        <f>Gymnastics!B8</f>
        <v>4</v>
      </c>
      <c r="BT5">
        <f>Gymnastics!C8</f>
        <v>4</v>
      </c>
      <c r="BU5">
        <f>Gymnastics!D8</f>
        <v>4</v>
      </c>
      <c r="BV5">
        <f>Gymnastics!E8</f>
        <v>1</v>
      </c>
      <c r="BW5">
        <f>IFERROR(
    INDEX('ASTS 2+3'!A:L, MATCH(A5, 'ASTS 2+3'!A:A, 0), 3),
    IFERROR(
        INDEX('ASTS 2+3'!J:L, MATCH(A5, 'ASTS 2+3'!J:J, 0), 3),
    "")
)</f>
        <v>33</v>
      </c>
      <c r="BX5">
        <f>'Rock to stand'!B8</f>
        <v>0</v>
      </c>
      <c r="BY5">
        <f>'Rock to stand'!C8</f>
        <v>0</v>
      </c>
      <c r="BZ5">
        <f>'Rock to stand'!D8</f>
        <v>0</v>
      </c>
      <c r="CA5">
        <f>'Rock to stand'!E8</f>
        <v>0</v>
      </c>
      <c r="CB5">
        <f>'Rock to stand'!F8</f>
        <v>0</v>
      </c>
      <c r="CC5">
        <f>'Rock to stand'!G8</f>
        <v>0</v>
      </c>
      <c r="CD5">
        <f>'Rock to stand'!H8</f>
        <v>0</v>
      </c>
      <c r="CE5">
        <f>'Rock to stand'!I8</f>
        <v>0</v>
      </c>
    </row>
    <row r="6" spans="1:84" x14ac:dyDescent="0.25">
      <c r="A6" t="str">
        <f>'Class List'!A9</f>
        <v>Student</v>
      </c>
      <c r="B6" t="str">
        <f>'Class List'!B9</f>
        <v>m</v>
      </c>
      <c r="C6">
        <f>'Class List'!C9</f>
        <v>10</v>
      </c>
      <c r="D6">
        <f>'Run'!B9</f>
        <v>0</v>
      </c>
      <c r="E6">
        <f>'Run'!C9</f>
        <v>0</v>
      </c>
      <c r="F6">
        <f>'Run'!D9</f>
        <v>0</v>
      </c>
      <c r="G6">
        <f>'Run'!E9</f>
        <v>0</v>
      </c>
      <c r="H6">
        <f>'Run'!F9</f>
        <v>0</v>
      </c>
      <c r="I6">
        <f>'Vertical Jump'!B9</f>
        <v>0</v>
      </c>
      <c r="J6">
        <f>'Vertical Jump'!C9</f>
        <v>0</v>
      </c>
      <c r="K6">
        <f>'Vertical Jump'!D9</f>
        <v>0</v>
      </c>
      <c r="L6">
        <f>'Vertical Jump'!E9</f>
        <v>0</v>
      </c>
      <c r="M6">
        <f>'Vertical Jump'!F9</f>
        <v>0</v>
      </c>
      <c r="N6">
        <f>Leap!B9</f>
        <v>0</v>
      </c>
      <c r="O6">
        <f>Leap!C9</f>
        <v>0</v>
      </c>
      <c r="P6">
        <f>Leap!D9</f>
        <v>0</v>
      </c>
      <c r="Q6">
        <f>Leap!E9</f>
        <v>0</v>
      </c>
      <c r="R6">
        <f>Leap!F9</f>
        <v>0</v>
      </c>
      <c r="S6">
        <f>Dodge!B9</f>
        <v>0</v>
      </c>
      <c r="T6">
        <f>Dodge!C9</f>
        <v>0</v>
      </c>
      <c r="U6">
        <f>Dodge!D9</f>
        <v>0</v>
      </c>
      <c r="V6">
        <f>Dodge!E9</f>
        <v>0</v>
      </c>
      <c r="W6">
        <f>Dodge!F9</f>
        <v>0</v>
      </c>
      <c r="X6">
        <f>Catch!B9</f>
        <v>0</v>
      </c>
      <c r="Y6">
        <f>Catch!C9</f>
        <v>0</v>
      </c>
      <c r="Z6">
        <f>Catch!D9</f>
        <v>0</v>
      </c>
      <c r="AA6">
        <f>Catch!E9</f>
        <v>0</v>
      </c>
      <c r="AB6">
        <f>Catch!F9</f>
        <v>0</v>
      </c>
      <c r="AC6">
        <f>Catch!G9</f>
        <v>0</v>
      </c>
      <c r="AD6">
        <f>'Overhand throw'!B9</f>
        <v>0</v>
      </c>
      <c r="AE6">
        <f>'Overhand throw'!C9</f>
        <v>0</v>
      </c>
      <c r="AF6">
        <f>'Overhand throw'!D9</f>
        <v>0</v>
      </c>
      <c r="AG6">
        <f>'Overhand throw'!E9</f>
        <v>0</v>
      </c>
      <c r="AH6">
        <f>'Overhand throw'!F9</f>
        <v>0</v>
      </c>
      <c r="AI6">
        <f>'Overhand throw'!G9</f>
        <v>0</v>
      </c>
      <c r="AJ6">
        <f>Kick!B9</f>
        <v>0</v>
      </c>
      <c r="AK6">
        <f>Kick!C9</f>
        <v>0</v>
      </c>
      <c r="AL6">
        <f>Kick!D9</f>
        <v>0</v>
      </c>
      <c r="AM6">
        <f>Kick!E9</f>
        <v>0</v>
      </c>
      <c r="AN6">
        <f>Kick!F9</f>
        <v>0</v>
      </c>
      <c r="AO6">
        <f>Kick!G9</f>
        <v>0</v>
      </c>
      <c r="AP6">
        <f>Kick!H9</f>
        <v>1</v>
      </c>
      <c r="AQ6">
        <f>Punt!B9</f>
        <v>0</v>
      </c>
      <c r="AR6">
        <f>Punt!C9</f>
        <v>0</v>
      </c>
      <c r="AS6">
        <f>Punt!D9</f>
        <v>0</v>
      </c>
      <c r="AT6">
        <f>Punt!E9</f>
        <v>0</v>
      </c>
      <c r="AU6">
        <f>Punt!F9</f>
        <v>0</v>
      </c>
      <c r="AV6">
        <f>Punt!G9</f>
        <v>0</v>
      </c>
      <c r="AW6">
        <f>Punt!H9</f>
        <v>0</v>
      </c>
      <c r="AX6">
        <f>Punt!I9</f>
        <v>0</v>
      </c>
      <c r="AY6">
        <f>Bounce!B9</f>
        <v>1</v>
      </c>
      <c r="AZ6">
        <f>Bounce!C9</f>
        <v>0</v>
      </c>
      <c r="BA6">
        <f>Bounce!D9</f>
        <v>1</v>
      </c>
      <c r="BB6">
        <f>Bounce!E9</f>
        <v>1</v>
      </c>
      <c r="BC6">
        <f>Bounce!F9</f>
        <v>1</v>
      </c>
      <c r="BD6">
        <f>'Two-handed strike'!B9</f>
        <v>0</v>
      </c>
      <c r="BE6">
        <f>'Two-handed strike'!C9</f>
        <v>0</v>
      </c>
      <c r="BF6">
        <f>'Two-handed strike'!D9</f>
        <v>0</v>
      </c>
      <c r="BG6">
        <f>'Two-handed strike'!E9</f>
        <v>0</v>
      </c>
      <c r="BH6">
        <f>'Two-handed strike'!F9</f>
        <v>0</v>
      </c>
      <c r="BI6">
        <f>'Two-handed strike'!G9</f>
        <v>0</v>
      </c>
      <c r="BJ6">
        <f>'Two-handed strike'!H9</f>
        <v>0</v>
      </c>
      <c r="BK6">
        <f>'Two-handed strike'!I9</f>
        <v>0</v>
      </c>
      <c r="BL6">
        <f>'Forehand strike'!B9</f>
        <v>0</v>
      </c>
      <c r="BM6">
        <f>'Forehand strike'!C9</f>
        <v>0</v>
      </c>
      <c r="BN6">
        <f>'Forehand strike'!D9</f>
        <v>0</v>
      </c>
      <c r="BO6">
        <f>'Forehand strike'!E9</f>
        <v>0</v>
      </c>
      <c r="BP6">
        <f>'Forehand strike'!F9</f>
        <v>0</v>
      </c>
      <c r="BQ6">
        <f>'Forehand strike'!G9</f>
        <v>0</v>
      </c>
      <c r="BR6">
        <f>'Forehand strike'!H9</f>
        <v>0</v>
      </c>
      <c r="BS6">
        <f>Gymnastics!B9</f>
        <v>2</v>
      </c>
      <c r="BT6">
        <f>Gymnastics!C9</f>
        <v>4</v>
      </c>
      <c r="BU6">
        <f>Gymnastics!D9</f>
        <v>3</v>
      </c>
      <c r="BV6">
        <f>Gymnastics!E9</f>
        <v>1</v>
      </c>
      <c r="BW6">
        <f>IFERROR(
    INDEX('ASTS 2+3'!A:L, MATCH(A6, 'ASTS 2+3'!A:A, 0), 3),
    IFERROR(
        INDEX('ASTS 2+3'!J:L, MATCH(A6, 'ASTS 2+3'!J:J, 0), 3),
    "")
)</f>
        <v>33</v>
      </c>
      <c r="BX6">
        <f>'Rock to stand'!B9</f>
        <v>0</v>
      </c>
      <c r="BY6">
        <f>'Rock to stand'!C9</f>
        <v>0</v>
      </c>
      <c r="BZ6">
        <f>'Rock to stand'!D9</f>
        <v>0</v>
      </c>
      <c r="CA6">
        <f>'Rock to stand'!E9</f>
        <v>0</v>
      </c>
      <c r="CB6">
        <f>'Rock to stand'!F9</f>
        <v>0</v>
      </c>
      <c r="CC6">
        <f>'Rock to stand'!G9</f>
        <v>0</v>
      </c>
      <c r="CD6">
        <f>'Rock to stand'!H9</f>
        <v>0</v>
      </c>
      <c r="CE6">
        <f>'Rock to stand'!I9</f>
        <v>0</v>
      </c>
    </row>
    <row r="7" spans="1:84" x14ac:dyDescent="0.25">
      <c r="A7" t="str">
        <f>'Class List'!A10</f>
        <v>Student</v>
      </c>
      <c r="B7" t="str">
        <f>'Class List'!B10</f>
        <v>f</v>
      </c>
      <c r="C7">
        <f>'Class List'!C10</f>
        <v>10</v>
      </c>
      <c r="D7">
        <f>'Run'!B10</f>
        <v>0</v>
      </c>
      <c r="E7">
        <f>'Run'!C10</f>
        <v>0</v>
      </c>
      <c r="F7">
        <f>'Run'!D10</f>
        <v>0</v>
      </c>
      <c r="G7">
        <f>'Run'!E10</f>
        <v>0</v>
      </c>
      <c r="H7">
        <f>'Run'!F10</f>
        <v>0</v>
      </c>
      <c r="I7">
        <f>'Vertical Jump'!B10</f>
        <v>0</v>
      </c>
      <c r="J7">
        <f>'Vertical Jump'!C10</f>
        <v>0</v>
      </c>
      <c r="K7">
        <f>'Vertical Jump'!D10</f>
        <v>0</v>
      </c>
      <c r="L7">
        <f>'Vertical Jump'!E10</f>
        <v>0</v>
      </c>
      <c r="M7">
        <f>'Vertical Jump'!F10</f>
        <v>0</v>
      </c>
      <c r="N7">
        <f>Leap!B10</f>
        <v>0</v>
      </c>
      <c r="O7">
        <f>Leap!C10</f>
        <v>0</v>
      </c>
      <c r="P7">
        <f>Leap!D10</f>
        <v>0</v>
      </c>
      <c r="Q7">
        <f>Leap!E10</f>
        <v>0</v>
      </c>
      <c r="R7">
        <f>Leap!F10</f>
        <v>0</v>
      </c>
      <c r="S7">
        <f>Dodge!B10</f>
        <v>0</v>
      </c>
      <c r="T7">
        <f>Dodge!C10</f>
        <v>0</v>
      </c>
      <c r="U7">
        <f>Dodge!D10</f>
        <v>0</v>
      </c>
      <c r="V7">
        <f>Dodge!E10</f>
        <v>0</v>
      </c>
      <c r="W7">
        <f>Dodge!F10</f>
        <v>0</v>
      </c>
      <c r="X7">
        <f>Catch!B10</f>
        <v>0</v>
      </c>
      <c r="Y7">
        <f>Catch!C10</f>
        <v>0</v>
      </c>
      <c r="Z7">
        <f>Catch!D10</f>
        <v>0</v>
      </c>
      <c r="AA7">
        <f>Catch!E10</f>
        <v>0</v>
      </c>
      <c r="AB7">
        <f>Catch!F10</f>
        <v>0</v>
      </c>
      <c r="AC7">
        <f>Catch!G10</f>
        <v>0</v>
      </c>
      <c r="AD7">
        <f>'Overhand throw'!B10</f>
        <v>0</v>
      </c>
      <c r="AE7">
        <f>'Overhand throw'!C10</f>
        <v>0</v>
      </c>
      <c r="AF7">
        <f>'Overhand throw'!D10</f>
        <v>0</v>
      </c>
      <c r="AG7">
        <f>'Overhand throw'!E10</f>
        <v>0</v>
      </c>
      <c r="AH7">
        <f>'Overhand throw'!F10</f>
        <v>0</v>
      </c>
      <c r="AI7">
        <f>'Overhand throw'!G10</f>
        <v>0</v>
      </c>
      <c r="AJ7">
        <f>Kick!B10</f>
        <v>0</v>
      </c>
      <c r="AK7">
        <f>Kick!C10</f>
        <v>0</v>
      </c>
      <c r="AL7">
        <f>Kick!D10</f>
        <v>0</v>
      </c>
      <c r="AM7">
        <f>Kick!E10</f>
        <v>0</v>
      </c>
      <c r="AN7">
        <f>Kick!F10</f>
        <v>0</v>
      </c>
      <c r="AO7">
        <f>Kick!G10</f>
        <v>0</v>
      </c>
      <c r="AP7">
        <f>Kick!H10</f>
        <v>1</v>
      </c>
      <c r="AQ7">
        <f>Punt!B10</f>
        <v>0</v>
      </c>
      <c r="AR7">
        <f>Punt!C10</f>
        <v>0</v>
      </c>
      <c r="AS7">
        <f>Punt!D10</f>
        <v>0</v>
      </c>
      <c r="AT7">
        <f>Punt!E10</f>
        <v>0</v>
      </c>
      <c r="AU7">
        <f>Punt!F10</f>
        <v>0</v>
      </c>
      <c r="AV7">
        <f>Punt!G10</f>
        <v>0</v>
      </c>
      <c r="AW7">
        <f>Punt!H10</f>
        <v>0</v>
      </c>
      <c r="AX7">
        <f>Punt!I10</f>
        <v>0</v>
      </c>
      <c r="AY7">
        <f>Bounce!B10</f>
        <v>1</v>
      </c>
      <c r="AZ7">
        <f>Bounce!C10</f>
        <v>0</v>
      </c>
      <c r="BA7">
        <f>Bounce!D10</f>
        <v>1</v>
      </c>
      <c r="BB7">
        <f>Bounce!E10</f>
        <v>1</v>
      </c>
      <c r="BC7">
        <f>Bounce!F10</f>
        <v>1</v>
      </c>
      <c r="BD7">
        <f>'Two-handed strike'!B10</f>
        <v>0</v>
      </c>
      <c r="BE7">
        <f>'Two-handed strike'!C10</f>
        <v>0</v>
      </c>
      <c r="BF7">
        <f>'Two-handed strike'!D10</f>
        <v>0</v>
      </c>
      <c r="BG7">
        <f>'Two-handed strike'!E10</f>
        <v>0</v>
      </c>
      <c r="BH7">
        <f>'Two-handed strike'!F10</f>
        <v>0</v>
      </c>
      <c r="BI7">
        <f>'Two-handed strike'!G10</f>
        <v>0</v>
      </c>
      <c r="BJ7">
        <f>'Two-handed strike'!H10</f>
        <v>0</v>
      </c>
      <c r="BK7">
        <f>'Two-handed strike'!I10</f>
        <v>0</v>
      </c>
      <c r="BL7">
        <f>'Forehand strike'!B10</f>
        <v>0</v>
      </c>
      <c r="BM7">
        <f>'Forehand strike'!C10</f>
        <v>0</v>
      </c>
      <c r="BN7">
        <f>'Forehand strike'!D10</f>
        <v>0</v>
      </c>
      <c r="BO7">
        <f>'Forehand strike'!E10</f>
        <v>0</v>
      </c>
      <c r="BP7">
        <f>'Forehand strike'!F10</f>
        <v>0</v>
      </c>
      <c r="BQ7">
        <f>'Forehand strike'!G10</f>
        <v>0</v>
      </c>
      <c r="BR7">
        <f>'Forehand strike'!H10</f>
        <v>0</v>
      </c>
      <c r="BS7">
        <f>Gymnastics!B10</f>
        <v>0</v>
      </c>
      <c r="BT7">
        <f>Gymnastics!C10</f>
        <v>0</v>
      </c>
      <c r="BU7">
        <f>Gymnastics!D10</f>
        <v>0</v>
      </c>
      <c r="BV7">
        <f>Gymnastics!E10</f>
        <v>1</v>
      </c>
      <c r="BW7">
        <f>IFERROR(
    INDEX('ASTS 2+3'!A:L, MATCH(A7, 'ASTS 2+3'!A:A, 0), 3),
    IFERROR(
        INDEX('ASTS 2+3'!J:L, MATCH(A7, 'ASTS 2+3'!J:J, 0), 3),
    "")
)</f>
        <v>33</v>
      </c>
      <c r="BX7">
        <f>'Rock to stand'!B10</f>
        <v>0</v>
      </c>
      <c r="BY7">
        <f>'Rock to stand'!C10</f>
        <v>0</v>
      </c>
      <c r="BZ7">
        <f>'Rock to stand'!D10</f>
        <v>0</v>
      </c>
      <c r="CA7">
        <f>'Rock to stand'!E10</f>
        <v>0</v>
      </c>
      <c r="CB7">
        <f>'Rock to stand'!F10</f>
        <v>0</v>
      </c>
      <c r="CC7">
        <f>'Rock to stand'!G10</f>
        <v>0</v>
      </c>
      <c r="CD7">
        <f>'Rock to stand'!H10</f>
        <v>0</v>
      </c>
      <c r="CE7">
        <f>'Rock to stand'!I10</f>
        <v>0</v>
      </c>
    </row>
    <row r="8" spans="1:84" x14ac:dyDescent="0.25">
      <c r="A8" t="str">
        <f>'Class List'!A11</f>
        <v>Student</v>
      </c>
      <c r="B8" t="str">
        <f>'Class List'!B11</f>
        <v>f</v>
      </c>
      <c r="C8">
        <f>'Class List'!C11</f>
        <v>9</v>
      </c>
      <c r="D8">
        <f>'Run'!B11</f>
        <v>0</v>
      </c>
      <c r="E8">
        <f>'Run'!C11</f>
        <v>0</v>
      </c>
      <c r="F8">
        <f>'Run'!D11</f>
        <v>0</v>
      </c>
      <c r="G8">
        <f>'Run'!E11</f>
        <v>0</v>
      </c>
      <c r="H8">
        <f>'Run'!F11</f>
        <v>0</v>
      </c>
      <c r="I8">
        <f>'Vertical Jump'!B11</f>
        <v>0</v>
      </c>
      <c r="J8">
        <f>'Vertical Jump'!C11</f>
        <v>0</v>
      </c>
      <c r="K8">
        <f>'Vertical Jump'!D11</f>
        <v>0</v>
      </c>
      <c r="L8">
        <f>'Vertical Jump'!E11</f>
        <v>0</v>
      </c>
      <c r="M8">
        <f>'Vertical Jump'!F11</f>
        <v>0</v>
      </c>
      <c r="N8">
        <f>Leap!B11</f>
        <v>0</v>
      </c>
      <c r="O8">
        <f>Leap!C11</f>
        <v>0</v>
      </c>
      <c r="P8">
        <f>Leap!D11</f>
        <v>0</v>
      </c>
      <c r="Q8">
        <f>Leap!E11</f>
        <v>0</v>
      </c>
      <c r="R8">
        <f>Leap!F11</f>
        <v>0</v>
      </c>
      <c r="S8">
        <f>Dodge!B11</f>
        <v>0</v>
      </c>
      <c r="T8">
        <f>Dodge!C11</f>
        <v>0</v>
      </c>
      <c r="U8">
        <f>Dodge!D11</f>
        <v>0</v>
      </c>
      <c r="V8">
        <f>Dodge!E11</f>
        <v>0</v>
      </c>
      <c r="W8">
        <f>Dodge!F11</f>
        <v>0</v>
      </c>
      <c r="X8">
        <f>Catch!B11</f>
        <v>0</v>
      </c>
      <c r="Y8">
        <f>Catch!C11</f>
        <v>0</v>
      </c>
      <c r="Z8">
        <f>Catch!D11</f>
        <v>0</v>
      </c>
      <c r="AA8">
        <f>Catch!E11</f>
        <v>0</v>
      </c>
      <c r="AB8">
        <f>Catch!F11</f>
        <v>0</v>
      </c>
      <c r="AC8">
        <f>Catch!G11</f>
        <v>0</v>
      </c>
      <c r="AD8">
        <f>'Overhand throw'!B11</f>
        <v>0</v>
      </c>
      <c r="AE8">
        <f>'Overhand throw'!C11</f>
        <v>0</v>
      </c>
      <c r="AF8">
        <f>'Overhand throw'!D11</f>
        <v>0</v>
      </c>
      <c r="AG8">
        <f>'Overhand throw'!E11</f>
        <v>0</v>
      </c>
      <c r="AH8">
        <f>'Overhand throw'!F11</f>
        <v>0</v>
      </c>
      <c r="AI8">
        <f>'Overhand throw'!G11</f>
        <v>0</v>
      </c>
      <c r="AJ8">
        <f>Kick!B11</f>
        <v>0</v>
      </c>
      <c r="AK8">
        <f>Kick!C11</f>
        <v>0</v>
      </c>
      <c r="AL8">
        <f>Kick!D11</f>
        <v>0</v>
      </c>
      <c r="AM8">
        <f>Kick!E11</f>
        <v>0</v>
      </c>
      <c r="AN8">
        <f>Kick!F11</f>
        <v>0</v>
      </c>
      <c r="AO8">
        <f>Kick!G11</f>
        <v>0</v>
      </c>
      <c r="AP8">
        <f>Kick!H11</f>
        <v>1</v>
      </c>
      <c r="AQ8">
        <f>Punt!B11</f>
        <v>0</v>
      </c>
      <c r="AR8">
        <f>Punt!C11</f>
        <v>0</v>
      </c>
      <c r="AS8">
        <f>Punt!D11</f>
        <v>0</v>
      </c>
      <c r="AT8">
        <f>Punt!E11</f>
        <v>0</v>
      </c>
      <c r="AU8">
        <f>Punt!F11</f>
        <v>0</v>
      </c>
      <c r="AV8">
        <f>Punt!G11</f>
        <v>0</v>
      </c>
      <c r="AW8">
        <f>Punt!H11</f>
        <v>0</v>
      </c>
      <c r="AX8">
        <f>Punt!I11</f>
        <v>0</v>
      </c>
      <c r="AY8">
        <f>Bounce!B11</f>
        <v>1</v>
      </c>
      <c r="AZ8">
        <f>Bounce!C11</f>
        <v>0</v>
      </c>
      <c r="BA8">
        <f>Bounce!D11</f>
        <v>1</v>
      </c>
      <c r="BB8">
        <f>Bounce!E11</f>
        <v>1</v>
      </c>
      <c r="BC8">
        <f>Bounce!F11</f>
        <v>1</v>
      </c>
      <c r="BD8">
        <f>'Two-handed strike'!B11</f>
        <v>0</v>
      </c>
      <c r="BE8">
        <f>'Two-handed strike'!C11</f>
        <v>0</v>
      </c>
      <c r="BF8">
        <f>'Two-handed strike'!D11</f>
        <v>0</v>
      </c>
      <c r="BG8">
        <f>'Two-handed strike'!E11</f>
        <v>0</v>
      </c>
      <c r="BH8">
        <f>'Two-handed strike'!F11</f>
        <v>0</v>
      </c>
      <c r="BI8">
        <f>'Two-handed strike'!G11</f>
        <v>0</v>
      </c>
      <c r="BJ8">
        <f>'Two-handed strike'!H11</f>
        <v>0</v>
      </c>
      <c r="BK8">
        <f>'Two-handed strike'!I11</f>
        <v>0</v>
      </c>
      <c r="BL8">
        <f>'Forehand strike'!B11</f>
        <v>0</v>
      </c>
      <c r="BM8">
        <f>'Forehand strike'!C11</f>
        <v>0</v>
      </c>
      <c r="BN8">
        <f>'Forehand strike'!D11</f>
        <v>0</v>
      </c>
      <c r="BO8">
        <f>'Forehand strike'!E11</f>
        <v>0</v>
      </c>
      <c r="BP8">
        <f>'Forehand strike'!F11</f>
        <v>0</v>
      </c>
      <c r="BQ8">
        <f>'Forehand strike'!G11</f>
        <v>0</v>
      </c>
      <c r="BR8">
        <f>'Forehand strike'!H11</f>
        <v>0</v>
      </c>
      <c r="BS8">
        <f>Gymnastics!B11</f>
        <v>3</v>
      </c>
      <c r="BT8">
        <f>Gymnastics!C11</f>
        <v>3</v>
      </c>
      <c r="BU8">
        <f>Gymnastics!D11</f>
        <v>3</v>
      </c>
      <c r="BV8">
        <f>Gymnastics!E11</f>
        <v>1</v>
      </c>
      <c r="BW8">
        <f>IFERROR(
    INDEX('ASTS 2+3'!A:L, MATCH(A8, 'ASTS 2+3'!A:A, 0), 3),
    IFERROR(
        INDEX('ASTS 2+3'!J:L, MATCH(A8, 'ASTS 2+3'!J:J, 0), 3),
    "")
)</f>
        <v>33</v>
      </c>
      <c r="BX8">
        <f>'Rock to stand'!B11</f>
        <v>0</v>
      </c>
      <c r="BY8">
        <f>'Rock to stand'!C11</f>
        <v>0</v>
      </c>
      <c r="BZ8">
        <f>'Rock to stand'!D11</f>
        <v>0</v>
      </c>
      <c r="CA8">
        <f>'Rock to stand'!E11</f>
        <v>0</v>
      </c>
      <c r="CB8">
        <f>'Rock to stand'!F11</f>
        <v>0</v>
      </c>
      <c r="CC8">
        <f>'Rock to stand'!G11</f>
        <v>0</v>
      </c>
      <c r="CD8">
        <f>'Rock to stand'!H11</f>
        <v>0</v>
      </c>
      <c r="CE8">
        <f>'Rock to stand'!I11</f>
        <v>0</v>
      </c>
    </row>
    <row r="9" spans="1:84" x14ac:dyDescent="0.25">
      <c r="A9" t="str">
        <f>'Class List'!A12</f>
        <v>Student</v>
      </c>
      <c r="B9" t="str">
        <f>'Class List'!B12</f>
        <v>f</v>
      </c>
      <c r="C9">
        <f>'Class List'!C12</f>
        <v>9</v>
      </c>
      <c r="D9">
        <f>'Run'!B12</f>
        <v>0</v>
      </c>
      <c r="E9">
        <f>'Run'!C12</f>
        <v>0</v>
      </c>
      <c r="F9">
        <f>'Run'!D12</f>
        <v>0</v>
      </c>
      <c r="G9">
        <f>'Run'!E12</f>
        <v>0</v>
      </c>
      <c r="H9">
        <f>'Run'!F12</f>
        <v>0</v>
      </c>
      <c r="I9">
        <f>'Vertical Jump'!B12</f>
        <v>0</v>
      </c>
      <c r="J9">
        <f>'Vertical Jump'!C12</f>
        <v>0</v>
      </c>
      <c r="K9">
        <f>'Vertical Jump'!D12</f>
        <v>0</v>
      </c>
      <c r="L9">
        <f>'Vertical Jump'!E12</f>
        <v>0</v>
      </c>
      <c r="M9">
        <f>'Vertical Jump'!F12</f>
        <v>0</v>
      </c>
      <c r="N9">
        <f>Leap!B12</f>
        <v>0</v>
      </c>
      <c r="O9">
        <f>Leap!C12</f>
        <v>0</v>
      </c>
      <c r="P9">
        <f>Leap!D12</f>
        <v>0</v>
      </c>
      <c r="Q9">
        <f>Leap!E12</f>
        <v>0</v>
      </c>
      <c r="R9">
        <f>Leap!F12</f>
        <v>0</v>
      </c>
      <c r="S9">
        <f>Dodge!B12</f>
        <v>0</v>
      </c>
      <c r="T9">
        <f>Dodge!C12</f>
        <v>0</v>
      </c>
      <c r="U9">
        <f>Dodge!D12</f>
        <v>0</v>
      </c>
      <c r="V9">
        <f>Dodge!E12</f>
        <v>0</v>
      </c>
      <c r="W9">
        <f>Dodge!F12</f>
        <v>0</v>
      </c>
      <c r="X9">
        <f>Catch!B12</f>
        <v>0</v>
      </c>
      <c r="Y9">
        <f>Catch!C12</f>
        <v>0</v>
      </c>
      <c r="Z9">
        <f>Catch!D12</f>
        <v>0</v>
      </c>
      <c r="AA9">
        <f>Catch!E12</f>
        <v>0</v>
      </c>
      <c r="AB9">
        <f>Catch!F12</f>
        <v>0</v>
      </c>
      <c r="AC9">
        <f>Catch!G12</f>
        <v>0</v>
      </c>
      <c r="AD9">
        <f>'Overhand throw'!B12</f>
        <v>0</v>
      </c>
      <c r="AE9">
        <f>'Overhand throw'!C12</f>
        <v>0</v>
      </c>
      <c r="AF9">
        <f>'Overhand throw'!D12</f>
        <v>0</v>
      </c>
      <c r="AG9">
        <f>'Overhand throw'!E12</f>
        <v>0</v>
      </c>
      <c r="AH9">
        <f>'Overhand throw'!F12</f>
        <v>0</v>
      </c>
      <c r="AI9">
        <f>'Overhand throw'!G12</f>
        <v>0</v>
      </c>
      <c r="AJ9">
        <f>Kick!B12</f>
        <v>0</v>
      </c>
      <c r="AK9">
        <f>Kick!C12</f>
        <v>0</v>
      </c>
      <c r="AL9">
        <f>Kick!D12</f>
        <v>0</v>
      </c>
      <c r="AM9">
        <f>Kick!E12</f>
        <v>0</v>
      </c>
      <c r="AN9">
        <f>Kick!F12</f>
        <v>0</v>
      </c>
      <c r="AO9">
        <f>Kick!G12</f>
        <v>0</v>
      </c>
      <c r="AP9">
        <f>Kick!H12</f>
        <v>1</v>
      </c>
      <c r="AQ9">
        <f>Punt!B12</f>
        <v>0</v>
      </c>
      <c r="AR9">
        <f>Punt!C12</f>
        <v>0</v>
      </c>
      <c r="AS9">
        <f>Punt!D12</f>
        <v>0</v>
      </c>
      <c r="AT9">
        <f>Punt!E12</f>
        <v>0</v>
      </c>
      <c r="AU9">
        <f>Punt!F12</f>
        <v>0</v>
      </c>
      <c r="AV9">
        <f>Punt!G12</f>
        <v>0</v>
      </c>
      <c r="AW9">
        <f>Punt!H12</f>
        <v>0</v>
      </c>
      <c r="AX9">
        <f>Punt!I12</f>
        <v>0</v>
      </c>
      <c r="AY9">
        <f>Bounce!B12</f>
        <v>1</v>
      </c>
      <c r="AZ9">
        <f>Bounce!C12</f>
        <v>0</v>
      </c>
      <c r="BA9">
        <f>Bounce!D12</f>
        <v>1</v>
      </c>
      <c r="BB9">
        <f>Bounce!E12</f>
        <v>1</v>
      </c>
      <c r="BC9">
        <f>Bounce!F12</f>
        <v>1</v>
      </c>
      <c r="BD9">
        <f>'Two-handed strike'!B12</f>
        <v>0</v>
      </c>
      <c r="BE9">
        <f>'Two-handed strike'!C12</f>
        <v>0</v>
      </c>
      <c r="BF9">
        <f>'Two-handed strike'!D12</f>
        <v>0</v>
      </c>
      <c r="BG9">
        <f>'Two-handed strike'!E12</f>
        <v>0</v>
      </c>
      <c r="BH9">
        <f>'Two-handed strike'!F12</f>
        <v>0</v>
      </c>
      <c r="BI9">
        <f>'Two-handed strike'!G12</f>
        <v>0</v>
      </c>
      <c r="BJ9">
        <f>'Two-handed strike'!H12</f>
        <v>0</v>
      </c>
      <c r="BK9">
        <f>'Two-handed strike'!I12</f>
        <v>0</v>
      </c>
      <c r="BL9">
        <f>'Forehand strike'!B12</f>
        <v>0</v>
      </c>
      <c r="BM9">
        <f>'Forehand strike'!C12</f>
        <v>0</v>
      </c>
      <c r="BN9">
        <f>'Forehand strike'!D12</f>
        <v>0</v>
      </c>
      <c r="BO9">
        <f>'Forehand strike'!E12</f>
        <v>0</v>
      </c>
      <c r="BP9">
        <f>'Forehand strike'!F12</f>
        <v>0</v>
      </c>
      <c r="BQ9">
        <f>'Forehand strike'!G12</f>
        <v>0</v>
      </c>
      <c r="BR9">
        <f>'Forehand strike'!H12</f>
        <v>0</v>
      </c>
      <c r="BS9">
        <f>Gymnastics!B12</f>
        <v>0</v>
      </c>
      <c r="BT9">
        <f>Gymnastics!C12</f>
        <v>0</v>
      </c>
      <c r="BU9">
        <f>Gymnastics!D12</f>
        <v>0</v>
      </c>
      <c r="BV9">
        <f>Gymnastics!E12</f>
        <v>1</v>
      </c>
      <c r="BW9">
        <f>IFERROR(
    INDEX('ASTS 2+3'!A:L, MATCH(A9, 'ASTS 2+3'!A:A, 0), 3),
    IFERROR(
        INDEX('ASTS 2+3'!J:L, MATCH(A9, 'ASTS 2+3'!J:J, 0), 3),
    "")
)</f>
        <v>33</v>
      </c>
      <c r="BX9">
        <f>'Rock to stand'!B12</f>
        <v>0</v>
      </c>
      <c r="BY9">
        <f>'Rock to stand'!C12</f>
        <v>0</v>
      </c>
      <c r="BZ9">
        <f>'Rock to stand'!D12</f>
        <v>0</v>
      </c>
      <c r="CA9">
        <f>'Rock to stand'!E12</f>
        <v>0</v>
      </c>
      <c r="CB9">
        <f>'Rock to stand'!F12</f>
        <v>0</v>
      </c>
      <c r="CC9">
        <f>'Rock to stand'!G12</f>
        <v>0</v>
      </c>
      <c r="CD9">
        <f>'Rock to stand'!H12</f>
        <v>0</v>
      </c>
      <c r="CE9">
        <f>'Rock to stand'!I12</f>
        <v>0</v>
      </c>
    </row>
    <row r="10" spans="1:84" x14ac:dyDescent="0.25">
      <c r="A10" t="str">
        <f>'Class List'!A13</f>
        <v>Student</v>
      </c>
      <c r="B10" t="str">
        <f>'Class List'!B13</f>
        <v>m</v>
      </c>
      <c r="C10">
        <f>'Class List'!C13</f>
        <v>9</v>
      </c>
      <c r="D10">
        <f>'Run'!B13</f>
        <v>0</v>
      </c>
      <c r="E10">
        <f>'Run'!C13</f>
        <v>0</v>
      </c>
      <c r="F10">
        <f>'Run'!D13</f>
        <v>0</v>
      </c>
      <c r="G10">
        <f>'Run'!E13</f>
        <v>0</v>
      </c>
      <c r="H10">
        <f>'Run'!F13</f>
        <v>0</v>
      </c>
      <c r="I10">
        <f>'Vertical Jump'!B13</f>
        <v>0</v>
      </c>
      <c r="J10">
        <f>'Vertical Jump'!C13</f>
        <v>0</v>
      </c>
      <c r="K10">
        <f>'Vertical Jump'!D13</f>
        <v>0</v>
      </c>
      <c r="L10">
        <f>'Vertical Jump'!E13</f>
        <v>0</v>
      </c>
      <c r="M10">
        <f>'Vertical Jump'!F13</f>
        <v>0</v>
      </c>
      <c r="N10">
        <f>Leap!B13</f>
        <v>0</v>
      </c>
      <c r="O10">
        <f>Leap!C13</f>
        <v>0</v>
      </c>
      <c r="P10">
        <f>Leap!D13</f>
        <v>0</v>
      </c>
      <c r="Q10">
        <f>Leap!E13</f>
        <v>0</v>
      </c>
      <c r="R10">
        <f>Leap!F13</f>
        <v>0</v>
      </c>
      <c r="S10">
        <f>Dodge!B13</f>
        <v>0</v>
      </c>
      <c r="T10">
        <f>Dodge!C13</f>
        <v>0</v>
      </c>
      <c r="U10">
        <f>Dodge!D13</f>
        <v>0</v>
      </c>
      <c r="V10">
        <f>Dodge!E13</f>
        <v>0</v>
      </c>
      <c r="W10">
        <f>Dodge!F13</f>
        <v>0</v>
      </c>
      <c r="X10">
        <f>Catch!B13</f>
        <v>0</v>
      </c>
      <c r="Y10">
        <f>Catch!C13</f>
        <v>0</v>
      </c>
      <c r="Z10">
        <f>Catch!D13</f>
        <v>0</v>
      </c>
      <c r="AA10">
        <f>Catch!E13</f>
        <v>0</v>
      </c>
      <c r="AB10">
        <f>Catch!F13</f>
        <v>0</v>
      </c>
      <c r="AC10">
        <f>Catch!G13</f>
        <v>0</v>
      </c>
      <c r="AD10">
        <f>'Overhand throw'!B13</f>
        <v>0</v>
      </c>
      <c r="AE10">
        <f>'Overhand throw'!C13</f>
        <v>0</v>
      </c>
      <c r="AF10">
        <f>'Overhand throw'!D13</f>
        <v>1</v>
      </c>
      <c r="AG10">
        <f>'Overhand throw'!E13</f>
        <v>0</v>
      </c>
      <c r="AH10">
        <f>'Overhand throw'!F13</f>
        <v>0</v>
      </c>
      <c r="AI10">
        <f>'Overhand throw'!G13</f>
        <v>0</v>
      </c>
      <c r="AJ10">
        <f>Kick!B13</f>
        <v>0</v>
      </c>
      <c r="AK10">
        <f>Kick!C13</f>
        <v>0</v>
      </c>
      <c r="AL10">
        <f>Kick!D13</f>
        <v>0</v>
      </c>
      <c r="AM10">
        <f>Kick!E13</f>
        <v>0</v>
      </c>
      <c r="AN10">
        <f>Kick!F13</f>
        <v>0</v>
      </c>
      <c r="AO10">
        <f>Kick!G13</f>
        <v>0</v>
      </c>
      <c r="AP10">
        <f>Kick!H13</f>
        <v>1</v>
      </c>
      <c r="AQ10">
        <f>Punt!B13</f>
        <v>0</v>
      </c>
      <c r="AR10">
        <f>Punt!C13</f>
        <v>0</v>
      </c>
      <c r="AS10">
        <f>Punt!D13</f>
        <v>0</v>
      </c>
      <c r="AT10">
        <f>Punt!E13</f>
        <v>0</v>
      </c>
      <c r="AU10">
        <f>Punt!F13</f>
        <v>0</v>
      </c>
      <c r="AV10">
        <f>Punt!G13</f>
        <v>0</v>
      </c>
      <c r="AW10">
        <f>Punt!H13</f>
        <v>0</v>
      </c>
      <c r="AX10">
        <f>Punt!I13</f>
        <v>0</v>
      </c>
      <c r="AY10">
        <f>Bounce!B13</f>
        <v>1</v>
      </c>
      <c r="AZ10">
        <f>Bounce!C13</f>
        <v>0</v>
      </c>
      <c r="BA10">
        <f>Bounce!D13</f>
        <v>1</v>
      </c>
      <c r="BB10">
        <f>Bounce!E13</f>
        <v>1</v>
      </c>
      <c r="BC10">
        <f>Bounce!F13</f>
        <v>1</v>
      </c>
      <c r="BD10">
        <f>'Two-handed strike'!B13</f>
        <v>0</v>
      </c>
      <c r="BE10">
        <f>'Two-handed strike'!C13</f>
        <v>0</v>
      </c>
      <c r="BF10">
        <f>'Two-handed strike'!D13</f>
        <v>0</v>
      </c>
      <c r="BG10">
        <f>'Two-handed strike'!E13</f>
        <v>0</v>
      </c>
      <c r="BH10">
        <f>'Two-handed strike'!F13</f>
        <v>0</v>
      </c>
      <c r="BI10">
        <f>'Two-handed strike'!G13</f>
        <v>0</v>
      </c>
      <c r="BJ10">
        <f>'Two-handed strike'!H13</f>
        <v>0</v>
      </c>
      <c r="BK10">
        <f>'Two-handed strike'!I13</f>
        <v>0</v>
      </c>
      <c r="BL10">
        <f>'Forehand strike'!B13</f>
        <v>0</v>
      </c>
      <c r="BM10">
        <f>'Forehand strike'!C13</f>
        <v>0</v>
      </c>
      <c r="BN10">
        <f>'Forehand strike'!D13</f>
        <v>0</v>
      </c>
      <c r="BO10">
        <f>'Forehand strike'!E13</f>
        <v>0</v>
      </c>
      <c r="BP10">
        <f>'Forehand strike'!F13</f>
        <v>0</v>
      </c>
      <c r="BQ10">
        <f>'Forehand strike'!G13</f>
        <v>0</v>
      </c>
      <c r="BR10">
        <f>'Forehand strike'!H13</f>
        <v>0</v>
      </c>
      <c r="BS10">
        <f>Gymnastics!B13</f>
        <v>3</v>
      </c>
      <c r="BT10">
        <f>Gymnastics!C13</f>
        <v>2</v>
      </c>
      <c r="BU10">
        <f>Gymnastics!D13</f>
        <v>3</v>
      </c>
      <c r="BV10">
        <f>Gymnastics!E13</f>
        <v>1</v>
      </c>
      <c r="BW10">
        <f>IFERROR(
    INDEX('ASTS 2+3'!A:L, MATCH(A10, 'ASTS 2+3'!A:A, 0), 3),
    IFERROR(
        INDEX('ASTS 2+3'!J:L, MATCH(A10, 'ASTS 2+3'!J:J, 0), 3),
    "")
)</f>
        <v>33</v>
      </c>
      <c r="BX10">
        <f>'Rock to stand'!B13</f>
        <v>0</v>
      </c>
      <c r="BY10">
        <f>'Rock to stand'!C13</f>
        <v>0</v>
      </c>
      <c r="BZ10">
        <f>'Rock to stand'!D13</f>
        <v>0</v>
      </c>
      <c r="CA10">
        <f>'Rock to stand'!E13</f>
        <v>0</v>
      </c>
      <c r="CB10">
        <f>'Rock to stand'!F13</f>
        <v>0</v>
      </c>
      <c r="CC10">
        <f>'Rock to stand'!G13</f>
        <v>0</v>
      </c>
      <c r="CD10">
        <f>'Rock to stand'!H13</f>
        <v>0</v>
      </c>
      <c r="CE10">
        <f>'Rock to stand'!I13</f>
        <v>0</v>
      </c>
    </row>
    <row r="11" spans="1:84" x14ac:dyDescent="0.25">
      <c r="A11" t="str">
        <f>'Class List'!A14</f>
        <v>Student</v>
      </c>
      <c r="B11" t="str">
        <f>'Class List'!B14</f>
        <v>f</v>
      </c>
      <c r="C11">
        <f>'Class List'!C14</f>
        <v>9</v>
      </c>
      <c r="D11">
        <f>'Run'!B14</f>
        <v>0</v>
      </c>
      <c r="E11">
        <f>'Run'!C14</f>
        <v>0</v>
      </c>
      <c r="F11">
        <f>'Run'!D14</f>
        <v>0</v>
      </c>
      <c r="G11">
        <f>'Run'!E14</f>
        <v>0</v>
      </c>
      <c r="H11">
        <f>'Run'!F14</f>
        <v>0</v>
      </c>
      <c r="I11">
        <f>'Vertical Jump'!B14</f>
        <v>0</v>
      </c>
      <c r="J11">
        <f>'Vertical Jump'!C14</f>
        <v>0</v>
      </c>
      <c r="K11">
        <f>'Vertical Jump'!D14</f>
        <v>0</v>
      </c>
      <c r="L11">
        <f>'Vertical Jump'!E14</f>
        <v>0</v>
      </c>
      <c r="M11">
        <f>'Vertical Jump'!F14</f>
        <v>0</v>
      </c>
      <c r="N11">
        <f>Leap!B14</f>
        <v>0</v>
      </c>
      <c r="O11">
        <f>Leap!C14</f>
        <v>0</v>
      </c>
      <c r="P11">
        <f>Leap!D14</f>
        <v>0</v>
      </c>
      <c r="Q11">
        <f>Leap!E14</f>
        <v>0</v>
      </c>
      <c r="R11">
        <f>Leap!F14</f>
        <v>0</v>
      </c>
      <c r="S11">
        <f>Dodge!B14</f>
        <v>0</v>
      </c>
      <c r="T11">
        <f>Dodge!C14</f>
        <v>0</v>
      </c>
      <c r="U11">
        <f>Dodge!D14</f>
        <v>0</v>
      </c>
      <c r="V11">
        <f>Dodge!E14</f>
        <v>0</v>
      </c>
      <c r="W11">
        <f>Dodge!F14</f>
        <v>0</v>
      </c>
      <c r="X11">
        <f>Catch!B14</f>
        <v>0</v>
      </c>
      <c r="Y11">
        <f>Catch!C14</f>
        <v>0</v>
      </c>
      <c r="Z11">
        <f>Catch!D14</f>
        <v>0</v>
      </c>
      <c r="AA11">
        <f>Catch!E14</f>
        <v>0</v>
      </c>
      <c r="AB11">
        <f>Catch!F14</f>
        <v>0</v>
      </c>
      <c r="AC11">
        <f>Catch!G14</f>
        <v>0</v>
      </c>
      <c r="AD11">
        <f>'Overhand throw'!B14</f>
        <v>0</v>
      </c>
      <c r="AE11">
        <f>'Overhand throw'!C14</f>
        <v>0</v>
      </c>
      <c r="AF11">
        <f>'Overhand throw'!D14</f>
        <v>0</v>
      </c>
      <c r="AG11">
        <f>'Overhand throw'!E14</f>
        <v>0</v>
      </c>
      <c r="AH11">
        <f>'Overhand throw'!F14</f>
        <v>0</v>
      </c>
      <c r="AI11">
        <f>'Overhand throw'!G14</f>
        <v>0</v>
      </c>
      <c r="AJ11">
        <f>Kick!B14</f>
        <v>0</v>
      </c>
      <c r="AK11">
        <f>Kick!C14</f>
        <v>0</v>
      </c>
      <c r="AL11">
        <f>Kick!D14</f>
        <v>0</v>
      </c>
      <c r="AM11">
        <f>Kick!E14</f>
        <v>0</v>
      </c>
      <c r="AN11">
        <f>Kick!F14</f>
        <v>0</v>
      </c>
      <c r="AO11">
        <f>Kick!G14</f>
        <v>0</v>
      </c>
      <c r="AP11">
        <f>Kick!H14</f>
        <v>1</v>
      </c>
      <c r="AQ11">
        <f>Punt!B14</f>
        <v>0</v>
      </c>
      <c r="AR11">
        <f>Punt!C14</f>
        <v>0</v>
      </c>
      <c r="AS11">
        <f>Punt!D14</f>
        <v>0</v>
      </c>
      <c r="AT11">
        <f>Punt!E14</f>
        <v>0</v>
      </c>
      <c r="AU11">
        <f>Punt!F14</f>
        <v>0</v>
      </c>
      <c r="AV11">
        <f>Punt!G14</f>
        <v>0</v>
      </c>
      <c r="AW11">
        <f>Punt!H14</f>
        <v>0</v>
      </c>
      <c r="AX11">
        <f>Punt!I14</f>
        <v>0</v>
      </c>
      <c r="AY11">
        <f>Bounce!B14</f>
        <v>1</v>
      </c>
      <c r="AZ11">
        <f>Bounce!C14</f>
        <v>0</v>
      </c>
      <c r="BA11">
        <f>Bounce!D14</f>
        <v>1</v>
      </c>
      <c r="BB11">
        <f>Bounce!E14</f>
        <v>1</v>
      </c>
      <c r="BC11">
        <f>Bounce!F14</f>
        <v>1</v>
      </c>
      <c r="BD11">
        <f>'Two-handed strike'!B14</f>
        <v>0</v>
      </c>
      <c r="BE11">
        <f>'Two-handed strike'!C14</f>
        <v>0</v>
      </c>
      <c r="BF11">
        <f>'Two-handed strike'!D14</f>
        <v>0</v>
      </c>
      <c r="BG11">
        <f>'Two-handed strike'!E14</f>
        <v>0</v>
      </c>
      <c r="BH11">
        <f>'Two-handed strike'!F14</f>
        <v>0</v>
      </c>
      <c r="BI11">
        <f>'Two-handed strike'!G14</f>
        <v>0</v>
      </c>
      <c r="BJ11">
        <f>'Two-handed strike'!H14</f>
        <v>0</v>
      </c>
      <c r="BK11">
        <f>'Two-handed strike'!I14</f>
        <v>0</v>
      </c>
      <c r="BL11">
        <f>'Forehand strike'!B14</f>
        <v>0</v>
      </c>
      <c r="BM11">
        <f>'Forehand strike'!C14</f>
        <v>0</v>
      </c>
      <c r="BN11">
        <f>'Forehand strike'!D14</f>
        <v>0</v>
      </c>
      <c r="BO11">
        <f>'Forehand strike'!E14</f>
        <v>0</v>
      </c>
      <c r="BP11">
        <f>'Forehand strike'!F14</f>
        <v>0</v>
      </c>
      <c r="BQ11">
        <f>'Forehand strike'!G14</f>
        <v>0</v>
      </c>
      <c r="BR11">
        <f>'Forehand strike'!H14</f>
        <v>0</v>
      </c>
      <c r="BS11">
        <f>Gymnastics!B14</f>
        <v>0</v>
      </c>
      <c r="BT11">
        <f>Gymnastics!C14</f>
        <v>0</v>
      </c>
      <c r="BU11">
        <f>Gymnastics!D14</f>
        <v>0</v>
      </c>
      <c r="BV11">
        <f>Gymnastics!E14</f>
        <v>1</v>
      </c>
      <c r="BW11">
        <f>IFERROR(
    INDEX('ASTS 2+3'!A:L, MATCH(A11, 'ASTS 2+3'!A:A, 0), 3),
    IFERROR(
        INDEX('ASTS 2+3'!J:L, MATCH(A11, 'ASTS 2+3'!J:J, 0), 3),
    "")
)</f>
        <v>33</v>
      </c>
      <c r="BX11">
        <f>'Rock to stand'!B14</f>
        <v>0</v>
      </c>
      <c r="BY11">
        <f>'Rock to stand'!C14</f>
        <v>0</v>
      </c>
      <c r="BZ11">
        <f>'Rock to stand'!D14</f>
        <v>0</v>
      </c>
      <c r="CA11">
        <f>'Rock to stand'!E14</f>
        <v>0</v>
      </c>
      <c r="CB11">
        <f>'Rock to stand'!F14</f>
        <v>0</v>
      </c>
      <c r="CC11">
        <f>'Rock to stand'!G14</f>
        <v>0</v>
      </c>
      <c r="CD11">
        <f>'Rock to stand'!H14</f>
        <v>0</v>
      </c>
      <c r="CE11">
        <f>'Rock to stand'!I14</f>
        <v>0</v>
      </c>
    </row>
    <row r="12" spans="1:84" x14ac:dyDescent="0.25">
      <c r="A12" t="str">
        <f>'Class List'!A15</f>
        <v>Student</v>
      </c>
      <c r="B12" t="str">
        <f>'Class List'!B15</f>
        <v>m</v>
      </c>
      <c r="C12">
        <f>'Class List'!C15</f>
        <v>10</v>
      </c>
      <c r="D12">
        <f>'Run'!B15</f>
        <v>0</v>
      </c>
      <c r="E12">
        <f>'Run'!C15</f>
        <v>0</v>
      </c>
      <c r="F12">
        <f>'Run'!D15</f>
        <v>0</v>
      </c>
      <c r="G12">
        <f>'Run'!E15</f>
        <v>0</v>
      </c>
      <c r="H12">
        <f>'Run'!F15</f>
        <v>0</v>
      </c>
      <c r="I12">
        <f>'Vertical Jump'!B15</f>
        <v>0</v>
      </c>
      <c r="J12">
        <f>'Vertical Jump'!C15</f>
        <v>0</v>
      </c>
      <c r="K12">
        <f>'Vertical Jump'!D15</f>
        <v>0</v>
      </c>
      <c r="L12">
        <f>'Vertical Jump'!E15</f>
        <v>0</v>
      </c>
      <c r="M12">
        <f>'Vertical Jump'!F15</f>
        <v>0</v>
      </c>
      <c r="N12">
        <f>Leap!B15</f>
        <v>0</v>
      </c>
      <c r="O12">
        <f>Leap!C15</f>
        <v>0</v>
      </c>
      <c r="P12">
        <f>Leap!D15</f>
        <v>0</v>
      </c>
      <c r="Q12">
        <f>Leap!E15</f>
        <v>0</v>
      </c>
      <c r="R12">
        <f>Leap!F15</f>
        <v>0</v>
      </c>
      <c r="S12">
        <f>Dodge!B15</f>
        <v>0</v>
      </c>
      <c r="T12">
        <f>Dodge!C15</f>
        <v>0</v>
      </c>
      <c r="U12">
        <f>Dodge!D15</f>
        <v>0</v>
      </c>
      <c r="V12">
        <f>Dodge!E15</f>
        <v>0</v>
      </c>
      <c r="W12">
        <f>Dodge!F15</f>
        <v>0</v>
      </c>
      <c r="X12">
        <f>Catch!B15</f>
        <v>0</v>
      </c>
      <c r="Y12">
        <f>Catch!C15</f>
        <v>0</v>
      </c>
      <c r="Z12">
        <f>Catch!D15</f>
        <v>0</v>
      </c>
      <c r="AA12">
        <f>Catch!E15</f>
        <v>0</v>
      </c>
      <c r="AB12">
        <f>Catch!F15</f>
        <v>0</v>
      </c>
      <c r="AC12">
        <f>Catch!G15</f>
        <v>0</v>
      </c>
      <c r="AD12">
        <f>'Overhand throw'!B15</f>
        <v>0</v>
      </c>
      <c r="AE12">
        <f>'Overhand throw'!C15</f>
        <v>0</v>
      </c>
      <c r="AF12">
        <f>'Overhand throw'!D15</f>
        <v>0</v>
      </c>
      <c r="AG12">
        <f>'Overhand throw'!E15</f>
        <v>0</v>
      </c>
      <c r="AH12">
        <f>'Overhand throw'!F15</f>
        <v>0</v>
      </c>
      <c r="AI12">
        <f>'Overhand throw'!G15</f>
        <v>0</v>
      </c>
      <c r="AJ12">
        <f>Kick!B15</f>
        <v>0</v>
      </c>
      <c r="AK12">
        <f>Kick!C15</f>
        <v>0</v>
      </c>
      <c r="AL12">
        <f>Kick!D15</f>
        <v>0</v>
      </c>
      <c r="AM12">
        <f>Kick!E15</f>
        <v>0</v>
      </c>
      <c r="AN12">
        <f>Kick!F15</f>
        <v>0</v>
      </c>
      <c r="AO12">
        <f>Kick!G15</f>
        <v>0</v>
      </c>
      <c r="AP12">
        <f>Kick!H15</f>
        <v>1</v>
      </c>
      <c r="AQ12">
        <f>Punt!B15</f>
        <v>0</v>
      </c>
      <c r="AR12">
        <f>Punt!C15</f>
        <v>0</v>
      </c>
      <c r="AS12">
        <f>Punt!D15</f>
        <v>0</v>
      </c>
      <c r="AT12">
        <f>Punt!E15</f>
        <v>0</v>
      </c>
      <c r="AU12">
        <f>Punt!F15</f>
        <v>0</v>
      </c>
      <c r="AV12">
        <f>Punt!G15</f>
        <v>0</v>
      </c>
      <c r="AW12">
        <f>Punt!H15</f>
        <v>0</v>
      </c>
      <c r="AX12">
        <f>Punt!I15</f>
        <v>0</v>
      </c>
      <c r="AY12">
        <f>Bounce!B15</f>
        <v>1</v>
      </c>
      <c r="AZ12">
        <f>Bounce!C15</f>
        <v>0</v>
      </c>
      <c r="BA12">
        <f>Bounce!D15</f>
        <v>1</v>
      </c>
      <c r="BB12">
        <f>Bounce!E15</f>
        <v>1</v>
      </c>
      <c r="BC12">
        <f>Bounce!F15</f>
        <v>1</v>
      </c>
      <c r="BD12">
        <f>'Two-handed strike'!B15</f>
        <v>0</v>
      </c>
      <c r="BE12">
        <f>'Two-handed strike'!C15</f>
        <v>0</v>
      </c>
      <c r="BF12">
        <f>'Two-handed strike'!D15</f>
        <v>0</v>
      </c>
      <c r="BG12">
        <f>'Two-handed strike'!E15</f>
        <v>0</v>
      </c>
      <c r="BH12">
        <f>'Two-handed strike'!F15</f>
        <v>0</v>
      </c>
      <c r="BI12">
        <f>'Two-handed strike'!G15</f>
        <v>0</v>
      </c>
      <c r="BJ12">
        <f>'Two-handed strike'!H15</f>
        <v>0</v>
      </c>
      <c r="BK12">
        <f>'Two-handed strike'!I15</f>
        <v>0</v>
      </c>
      <c r="BL12">
        <f>'Forehand strike'!B15</f>
        <v>0</v>
      </c>
      <c r="BM12">
        <f>'Forehand strike'!C15</f>
        <v>0</v>
      </c>
      <c r="BN12">
        <f>'Forehand strike'!D15</f>
        <v>0</v>
      </c>
      <c r="BO12">
        <f>'Forehand strike'!E15</f>
        <v>0</v>
      </c>
      <c r="BP12">
        <f>'Forehand strike'!F15</f>
        <v>0</v>
      </c>
      <c r="BQ12">
        <f>'Forehand strike'!G15</f>
        <v>0</v>
      </c>
      <c r="BR12">
        <f>'Forehand strike'!H15</f>
        <v>0</v>
      </c>
      <c r="BS12">
        <f>Gymnastics!B15</f>
        <v>3</v>
      </c>
      <c r="BT12">
        <f>Gymnastics!C15</f>
        <v>3</v>
      </c>
      <c r="BU12">
        <f>Gymnastics!D15</f>
        <v>4</v>
      </c>
      <c r="BV12">
        <f>Gymnastics!E15</f>
        <v>1</v>
      </c>
      <c r="BW12">
        <f>IFERROR(
    INDEX('ASTS 2+3'!A:L, MATCH(A12, 'ASTS 2+3'!A:A, 0), 3),
    IFERROR(
        INDEX('ASTS 2+3'!J:L, MATCH(A12, 'ASTS 2+3'!J:J, 0), 3),
    "")
)</f>
        <v>33</v>
      </c>
      <c r="BX12">
        <f>'Rock to stand'!B15</f>
        <v>0</v>
      </c>
      <c r="BY12">
        <f>'Rock to stand'!C15</f>
        <v>0</v>
      </c>
      <c r="BZ12">
        <f>'Rock to stand'!D15</f>
        <v>0</v>
      </c>
      <c r="CA12">
        <f>'Rock to stand'!E15</f>
        <v>0</v>
      </c>
      <c r="CB12">
        <f>'Rock to stand'!F15</f>
        <v>0</v>
      </c>
      <c r="CC12">
        <f>'Rock to stand'!G15</f>
        <v>0</v>
      </c>
      <c r="CD12">
        <f>'Rock to stand'!H15</f>
        <v>0</v>
      </c>
      <c r="CE12">
        <f>'Rock to stand'!I15</f>
        <v>0</v>
      </c>
    </row>
    <row r="13" spans="1:84" x14ac:dyDescent="0.25">
      <c r="A13" t="str">
        <f>'Class List'!A16</f>
        <v>Student</v>
      </c>
      <c r="B13" t="str">
        <f>'Class List'!B16</f>
        <v>f</v>
      </c>
      <c r="C13">
        <f>'Class List'!C16</f>
        <v>9</v>
      </c>
      <c r="D13">
        <f>'Run'!B16</f>
        <v>0</v>
      </c>
      <c r="E13">
        <f>'Run'!C16</f>
        <v>0</v>
      </c>
      <c r="F13">
        <f>'Run'!D16</f>
        <v>0</v>
      </c>
      <c r="G13">
        <f>'Run'!E16</f>
        <v>0</v>
      </c>
      <c r="H13">
        <f>'Run'!F16</f>
        <v>0</v>
      </c>
      <c r="I13">
        <f>'Vertical Jump'!B16</f>
        <v>0</v>
      </c>
      <c r="J13">
        <f>'Vertical Jump'!C16</f>
        <v>0</v>
      </c>
      <c r="K13">
        <f>'Vertical Jump'!D16</f>
        <v>0</v>
      </c>
      <c r="L13">
        <f>'Vertical Jump'!E16</f>
        <v>0</v>
      </c>
      <c r="M13">
        <f>'Vertical Jump'!F16</f>
        <v>0</v>
      </c>
      <c r="N13">
        <f>Leap!B16</f>
        <v>0</v>
      </c>
      <c r="O13">
        <f>Leap!C16</f>
        <v>0</v>
      </c>
      <c r="P13">
        <f>Leap!D16</f>
        <v>0</v>
      </c>
      <c r="Q13">
        <f>Leap!E16</f>
        <v>0</v>
      </c>
      <c r="R13">
        <f>Leap!F16</f>
        <v>0</v>
      </c>
      <c r="S13">
        <f>Dodge!B16</f>
        <v>0</v>
      </c>
      <c r="T13">
        <f>Dodge!C16</f>
        <v>0</v>
      </c>
      <c r="U13">
        <f>Dodge!D16</f>
        <v>0</v>
      </c>
      <c r="V13">
        <f>Dodge!E16</f>
        <v>0</v>
      </c>
      <c r="W13">
        <f>Dodge!F16</f>
        <v>0</v>
      </c>
      <c r="X13">
        <f>Catch!B16</f>
        <v>0</v>
      </c>
      <c r="Y13">
        <f>Catch!C16</f>
        <v>0</v>
      </c>
      <c r="Z13">
        <f>Catch!D16</f>
        <v>0</v>
      </c>
      <c r="AA13">
        <f>Catch!E16</f>
        <v>0</v>
      </c>
      <c r="AB13">
        <f>Catch!F16</f>
        <v>0</v>
      </c>
      <c r="AC13">
        <f>Catch!G16</f>
        <v>0</v>
      </c>
      <c r="AD13">
        <f>'Overhand throw'!B16</f>
        <v>0</v>
      </c>
      <c r="AE13">
        <f>'Overhand throw'!C16</f>
        <v>0</v>
      </c>
      <c r="AF13">
        <f>'Overhand throw'!D16</f>
        <v>0</v>
      </c>
      <c r="AG13">
        <f>'Overhand throw'!E16</f>
        <v>0</v>
      </c>
      <c r="AH13">
        <f>'Overhand throw'!F16</f>
        <v>0</v>
      </c>
      <c r="AI13">
        <f>'Overhand throw'!G16</f>
        <v>0</v>
      </c>
      <c r="AJ13">
        <f>Kick!B16</f>
        <v>0</v>
      </c>
      <c r="AK13">
        <f>Kick!C16</f>
        <v>0</v>
      </c>
      <c r="AL13">
        <f>Kick!D16</f>
        <v>0</v>
      </c>
      <c r="AM13">
        <f>Kick!E16</f>
        <v>0</v>
      </c>
      <c r="AN13">
        <f>Kick!F16</f>
        <v>0</v>
      </c>
      <c r="AO13">
        <f>Kick!G16</f>
        <v>0</v>
      </c>
      <c r="AP13">
        <f>Kick!H16</f>
        <v>1</v>
      </c>
      <c r="AQ13">
        <f>Punt!B16</f>
        <v>0</v>
      </c>
      <c r="AR13">
        <f>Punt!C16</f>
        <v>0</v>
      </c>
      <c r="AS13">
        <f>Punt!D16</f>
        <v>0</v>
      </c>
      <c r="AT13">
        <f>Punt!E16</f>
        <v>0</v>
      </c>
      <c r="AU13">
        <f>Punt!F16</f>
        <v>0</v>
      </c>
      <c r="AV13">
        <f>Punt!G16</f>
        <v>0</v>
      </c>
      <c r="AW13">
        <f>Punt!H16</f>
        <v>0</v>
      </c>
      <c r="AX13">
        <f>Punt!I16</f>
        <v>0</v>
      </c>
      <c r="AY13">
        <f>Bounce!B16</f>
        <v>1</v>
      </c>
      <c r="AZ13">
        <f>Bounce!C16</f>
        <v>0</v>
      </c>
      <c r="BA13">
        <f>Bounce!D16</f>
        <v>1</v>
      </c>
      <c r="BB13">
        <f>Bounce!E16</f>
        <v>1</v>
      </c>
      <c r="BC13">
        <f>Bounce!F16</f>
        <v>1</v>
      </c>
      <c r="BD13">
        <f>'Two-handed strike'!B16</f>
        <v>0</v>
      </c>
      <c r="BE13">
        <f>'Two-handed strike'!C16</f>
        <v>0</v>
      </c>
      <c r="BF13">
        <f>'Two-handed strike'!D16</f>
        <v>0</v>
      </c>
      <c r="BG13">
        <f>'Two-handed strike'!E16</f>
        <v>0</v>
      </c>
      <c r="BH13">
        <f>'Two-handed strike'!F16</f>
        <v>0</v>
      </c>
      <c r="BI13">
        <f>'Two-handed strike'!G16</f>
        <v>0</v>
      </c>
      <c r="BJ13">
        <f>'Two-handed strike'!H16</f>
        <v>0</v>
      </c>
      <c r="BK13">
        <f>'Two-handed strike'!I16</f>
        <v>0</v>
      </c>
      <c r="BL13">
        <f>'Forehand strike'!B16</f>
        <v>0</v>
      </c>
      <c r="BM13">
        <f>'Forehand strike'!C16</f>
        <v>0</v>
      </c>
      <c r="BN13">
        <f>'Forehand strike'!D16</f>
        <v>0</v>
      </c>
      <c r="BO13">
        <f>'Forehand strike'!E16</f>
        <v>0</v>
      </c>
      <c r="BP13">
        <f>'Forehand strike'!F16</f>
        <v>0</v>
      </c>
      <c r="BQ13">
        <f>'Forehand strike'!G16</f>
        <v>0</v>
      </c>
      <c r="BR13">
        <f>'Forehand strike'!H16</f>
        <v>0</v>
      </c>
      <c r="BS13">
        <f>Gymnastics!B16</f>
        <v>3</v>
      </c>
      <c r="BT13">
        <f>Gymnastics!C16</f>
        <v>2</v>
      </c>
      <c r="BU13">
        <f>Gymnastics!D16</f>
        <v>3</v>
      </c>
      <c r="BV13">
        <f>Gymnastics!E16</f>
        <v>1</v>
      </c>
      <c r="BW13">
        <f>IFERROR(
    INDEX('ASTS 2+3'!A:L, MATCH(A13, 'ASTS 2+3'!A:A, 0), 3),
    IFERROR(
        INDEX('ASTS 2+3'!J:L, MATCH(A13, 'ASTS 2+3'!J:J, 0), 3),
    "")
)</f>
        <v>33</v>
      </c>
      <c r="BX13">
        <f>'Rock to stand'!B16</f>
        <v>0</v>
      </c>
      <c r="BY13">
        <f>'Rock to stand'!C16</f>
        <v>0</v>
      </c>
      <c r="BZ13">
        <f>'Rock to stand'!D16</f>
        <v>0</v>
      </c>
      <c r="CA13">
        <f>'Rock to stand'!E16</f>
        <v>0</v>
      </c>
      <c r="CB13">
        <f>'Rock to stand'!F16</f>
        <v>0</v>
      </c>
      <c r="CC13">
        <f>'Rock to stand'!G16</f>
        <v>0</v>
      </c>
      <c r="CD13">
        <f>'Rock to stand'!H16</f>
        <v>0</v>
      </c>
      <c r="CE13">
        <f>'Rock to stand'!I16</f>
        <v>0</v>
      </c>
    </row>
    <row r="14" spans="1:84" x14ac:dyDescent="0.25">
      <c r="A14" t="str">
        <f>'Class List'!A17</f>
        <v>Student</v>
      </c>
      <c r="B14" t="str">
        <f>'Class List'!B17</f>
        <v>f</v>
      </c>
      <c r="C14">
        <f>'Class List'!C17</f>
        <v>9</v>
      </c>
      <c r="D14">
        <f>'Run'!B17</f>
        <v>0</v>
      </c>
      <c r="E14">
        <f>'Run'!C17</f>
        <v>0</v>
      </c>
      <c r="F14">
        <f>'Run'!D17</f>
        <v>0</v>
      </c>
      <c r="G14">
        <f>'Run'!E17</f>
        <v>0</v>
      </c>
      <c r="H14">
        <f>'Run'!F17</f>
        <v>0</v>
      </c>
      <c r="I14">
        <f>'Vertical Jump'!B17</f>
        <v>0</v>
      </c>
      <c r="J14">
        <f>'Vertical Jump'!C17</f>
        <v>0</v>
      </c>
      <c r="K14">
        <f>'Vertical Jump'!D17</f>
        <v>0</v>
      </c>
      <c r="L14">
        <f>'Vertical Jump'!E17</f>
        <v>0</v>
      </c>
      <c r="M14">
        <f>'Vertical Jump'!F17</f>
        <v>0</v>
      </c>
      <c r="N14">
        <f>Leap!B17</f>
        <v>0</v>
      </c>
      <c r="O14">
        <f>Leap!C17</f>
        <v>0</v>
      </c>
      <c r="P14">
        <f>Leap!D17</f>
        <v>0</v>
      </c>
      <c r="Q14">
        <f>Leap!E17</f>
        <v>0</v>
      </c>
      <c r="R14">
        <f>Leap!F17</f>
        <v>0</v>
      </c>
      <c r="S14">
        <f>Dodge!B17</f>
        <v>0</v>
      </c>
      <c r="T14">
        <f>Dodge!C17</f>
        <v>0</v>
      </c>
      <c r="U14">
        <f>Dodge!D17</f>
        <v>0</v>
      </c>
      <c r="V14">
        <f>Dodge!E17</f>
        <v>0</v>
      </c>
      <c r="W14">
        <f>Dodge!F17</f>
        <v>0</v>
      </c>
      <c r="X14">
        <f>Catch!B17</f>
        <v>0</v>
      </c>
      <c r="Y14">
        <f>Catch!C17</f>
        <v>0</v>
      </c>
      <c r="Z14">
        <f>Catch!D17</f>
        <v>0</v>
      </c>
      <c r="AA14">
        <f>Catch!E17</f>
        <v>0</v>
      </c>
      <c r="AB14">
        <f>Catch!F17</f>
        <v>0</v>
      </c>
      <c r="AC14">
        <f>Catch!G17</f>
        <v>0</v>
      </c>
      <c r="AD14">
        <f>'Overhand throw'!B17</f>
        <v>0</v>
      </c>
      <c r="AE14">
        <f>'Overhand throw'!C17</f>
        <v>0</v>
      </c>
      <c r="AF14">
        <f>'Overhand throw'!D17</f>
        <v>0</v>
      </c>
      <c r="AG14">
        <f>'Overhand throw'!E17</f>
        <v>0</v>
      </c>
      <c r="AH14">
        <f>'Overhand throw'!F17</f>
        <v>0</v>
      </c>
      <c r="AI14">
        <f>'Overhand throw'!G17</f>
        <v>0</v>
      </c>
      <c r="AJ14">
        <f>Kick!B17</f>
        <v>0</v>
      </c>
      <c r="AK14">
        <f>Kick!C17</f>
        <v>0</v>
      </c>
      <c r="AL14">
        <f>Kick!D17</f>
        <v>0</v>
      </c>
      <c r="AM14">
        <f>Kick!E17</f>
        <v>0</v>
      </c>
      <c r="AN14">
        <f>Kick!F17</f>
        <v>0</v>
      </c>
      <c r="AO14">
        <f>Kick!G17</f>
        <v>0</v>
      </c>
      <c r="AP14">
        <f>Kick!H17</f>
        <v>1</v>
      </c>
      <c r="AQ14">
        <f>Punt!B17</f>
        <v>0</v>
      </c>
      <c r="AR14">
        <f>Punt!C17</f>
        <v>0</v>
      </c>
      <c r="AS14">
        <f>Punt!D17</f>
        <v>0</v>
      </c>
      <c r="AT14">
        <f>Punt!E17</f>
        <v>0</v>
      </c>
      <c r="AU14">
        <f>Punt!F17</f>
        <v>0</v>
      </c>
      <c r="AV14">
        <f>Punt!G17</f>
        <v>0</v>
      </c>
      <c r="AW14">
        <f>Punt!H17</f>
        <v>0</v>
      </c>
      <c r="AX14">
        <f>Punt!I17</f>
        <v>0</v>
      </c>
      <c r="AY14">
        <f>Bounce!B17</f>
        <v>1</v>
      </c>
      <c r="AZ14">
        <f>Bounce!C17</f>
        <v>1</v>
      </c>
      <c r="BA14">
        <f>Bounce!D17</f>
        <v>1</v>
      </c>
      <c r="BB14">
        <f>Bounce!E17</f>
        <v>1</v>
      </c>
      <c r="BC14">
        <f>Bounce!F17</f>
        <v>1</v>
      </c>
      <c r="BD14">
        <f>'Two-handed strike'!B17</f>
        <v>0</v>
      </c>
      <c r="BE14">
        <f>'Two-handed strike'!C17</f>
        <v>0</v>
      </c>
      <c r="BF14">
        <f>'Two-handed strike'!D17</f>
        <v>0</v>
      </c>
      <c r="BG14">
        <f>'Two-handed strike'!E17</f>
        <v>0</v>
      </c>
      <c r="BH14">
        <f>'Two-handed strike'!F17</f>
        <v>0</v>
      </c>
      <c r="BI14">
        <f>'Two-handed strike'!G17</f>
        <v>0</v>
      </c>
      <c r="BJ14">
        <f>'Two-handed strike'!H17</f>
        <v>0</v>
      </c>
      <c r="BK14">
        <f>'Two-handed strike'!I17</f>
        <v>0</v>
      </c>
      <c r="BL14">
        <f>'Forehand strike'!B17</f>
        <v>0</v>
      </c>
      <c r="BM14">
        <f>'Forehand strike'!C17</f>
        <v>0</v>
      </c>
      <c r="BN14">
        <f>'Forehand strike'!D17</f>
        <v>0</v>
      </c>
      <c r="BO14">
        <f>'Forehand strike'!E17</f>
        <v>0</v>
      </c>
      <c r="BP14">
        <f>'Forehand strike'!F17</f>
        <v>0</v>
      </c>
      <c r="BQ14">
        <f>'Forehand strike'!G17</f>
        <v>0</v>
      </c>
      <c r="BR14">
        <f>'Forehand strike'!H17</f>
        <v>0</v>
      </c>
      <c r="BS14">
        <f>Gymnastics!B17</f>
        <v>3</v>
      </c>
      <c r="BT14">
        <f>Gymnastics!C17</f>
        <v>4</v>
      </c>
      <c r="BU14">
        <f>Gymnastics!D17</f>
        <v>3</v>
      </c>
      <c r="BV14">
        <f>Gymnastics!E17</f>
        <v>1</v>
      </c>
      <c r="BW14">
        <f>IFERROR(
    INDEX('ASTS 2+3'!A:L, MATCH(A14, 'ASTS 2+3'!A:A, 0), 3),
    IFERROR(
        INDEX('ASTS 2+3'!J:L, MATCH(A14, 'ASTS 2+3'!J:J, 0), 3),
    "")
)</f>
        <v>33</v>
      </c>
      <c r="BX14">
        <f>'Rock to stand'!B17</f>
        <v>0</v>
      </c>
      <c r="BY14">
        <f>'Rock to stand'!C17</f>
        <v>0</v>
      </c>
      <c r="BZ14">
        <f>'Rock to stand'!D17</f>
        <v>0</v>
      </c>
      <c r="CA14">
        <f>'Rock to stand'!E17</f>
        <v>0</v>
      </c>
      <c r="CB14">
        <f>'Rock to stand'!F17</f>
        <v>0</v>
      </c>
      <c r="CC14">
        <f>'Rock to stand'!G17</f>
        <v>0</v>
      </c>
      <c r="CD14">
        <f>'Rock to stand'!H17</f>
        <v>0</v>
      </c>
      <c r="CE14">
        <f>'Rock to stand'!I17</f>
        <v>0</v>
      </c>
    </row>
    <row r="15" spans="1:84" x14ac:dyDescent="0.25">
      <c r="A15" t="str">
        <f>'Class List'!A18</f>
        <v>Student</v>
      </c>
      <c r="B15" t="str">
        <f>'Class List'!B18</f>
        <v>m</v>
      </c>
      <c r="C15">
        <f>'Class List'!C18</f>
        <v>10</v>
      </c>
      <c r="D15">
        <f>'Run'!B18</f>
        <v>0</v>
      </c>
      <c r="E15">
        <f>'Run'!C18</f>
        <v>0</v>
      </c>
      <c r="F15">
        <f>'Run'!D18</f>
        <v>0</v>
      </c>
      <c r="G15">
        <f>'Run'!E18</f>
        <v>0</v>
      </c>
      <c r="H15">
        <f>'Run'!F18</f>
        <v>0</v>
      </c>
      <c r="I15">
        <f>'Vertical Jump'!B18</f>
        <v>0</v>
      </c>
      <c r="J15">
        <f>'Vertical Jump'!C18</f>
        <v>0</v>
      </c>
      <c r="K15">
        <f>'Vertical Jump'!D18</f>
        <v>0</v>
      </c>
      <c r="L15">
        <f>'Vertical Jump'!E18</f>
        <v>0</v>
      </c>
      <c r="M15">
        <f>'Vertical Jump'!F18</f>
        <v>0</v>
      </c>
      <c r="N15">
        <f>Leap!B18</f>
        <v>0</v>
      </c>
      <c r="O15">
        <f>Leap!C18</f>
        <v>0</v>
      </c>
      <c r="P15">
        <f>Leap!D18</f>
        <v>0</v>
      </c>
      <c r="Q15">
        <f>Leap!E18</f>
        <v>0</v>
      </c>
      <c r="R15">
        <f>Leap!F18</f>
        <v>0</v>
      </c>
      <c r="S15">
        <f>Dodge!B18</f>
        <v>0</v>
      </c>
      <c r="T15">
        <f>Dodge!C18</f>
        <v>0</v>
      </c>
      <c r="U15">
        <f>Dodge!D18</f>
        <v>0</v>
      </c>
      <c r="V15">
        <f>Dodge!E18</f>
        <v>0</v>
      </c>
      <c r="W15">
        <f>Dodge!F18</f>
        <v>0</v>
      </c>
      <c r="X15">
        <f>Catch!B18</f>
        <v>0</v>
      </c>
      <c r="Y15">
        <f>Catch!C18</f>
        <v>0</v>
      </c>
      <c r="Z15">
        <f>Catch!D18</f>
        <v>0</v>
      </c>
      <c r="AA15">
        <f>Catch!E18</f>
        <v>0</v>
      </c>
      <c r="AB15">
        <f>Catch!F18</f>
        <v>0</v>
      </c>
      <c r="AC15">
        <f>Catch!G18</f>
        <v>0</v>
      </c>
      <c r="AD15">
        <f>'Overhand throw'!B18</f>
        <v>0</v>
      </c>
      <c r="AE15">
        <f>'Overhand throw'!C18</f>
        <v>0</v>
      </c>
      <c r="AF15">
        <f>'Overhand throw'!D18</f>
        <v>0</v>
      </c>
      <c r="AG15">
        <f>'Overhand throw'!E18</f>
        <v>0</v>
      </c>
      <c r="AH15">
        <f>'Overhand throw'!F18</f>
        <v>0</v>
      </c>
      <c r="AI15">
        <f>'Overhand throw'!G18</f>
        <v>0</v>
      </c>
      <c r="AJ15">
        <f>Kick!B18</f>
        <v>0</v>
      </c>
      <c r="AK15">
        <f>Kick!C18</f>
        <v>0</v>
      </c>
      <c r="AL15">
        <f>Kick!D18</f>
        <v>0</v>
      </c>
      <c r="AM15">
        <f>Kick!E18</f>
        <v>0</v>
      </c>
      <c r="AN15">
        <f>Kick!F18</f>
        <v>0</v>
      </c>
      <c r="AO15">
        <f>Kick!G18</f>
        <v>0</v>
      </c>
      <c r="AP15">
        <f>Kick!H18</f>
        <v>1</v>
      </c>
      <c r="AQ15">
        <f>Punt!B18</f>
        <v>0</v>
      </c>
      <c r="AR15">
        <f>Punt!C18</f>
        <v>0</v>
      </c>
      <c r="AS15">
        <f>Punt!D18</f>
        <v>0</v>
      </c>
      <c r="AT15">
        <f>Punt!E18</f>
        <v>0</v>
      </c>
      <c r="AU15">
        <f>Punt!F18</f>
        <v>0</v>
      </c>
      <c r="AV15">
        <f>Punt!G18</f>
        <v>0</v>
      </c>
      <c r="AW15">
        <f>Punt!H18</f>
        <v>0</v>
      </c>
      <c r="AX15">
        <f>Punt!I18</f>
        <v>0</v>
      </c>
      <c r="AY15">
        <f>Bounce!B18</f>
        <v>1</v>
      </c>
      <c r="AZ15">
        <f>Bounce!C18</f>
        <v>1</v>
      </c>
      <c r="BA15">
        <f>Bounce!D18</f>
        <v>1</v>
      </c>
      <c r="BB15">
        <f>Bounce!E18</f>
        <v>1</v>
      </c>
      <c r="BC15">
        <f>Bounce!F18</f>
        <v>1</v>
      </c>
      <c r="BD15">
        <f>'Two-handed strike'!B18</f>
        <v>0</v>
      </c>
      <c r="BE15">
        <f>'Two-handed strike'!C18</f>
        <v>0</v>
      </c>
      <c r="BF15">
        <f>'Two-handed strike'!D18</f>
        <v>0</v>
      </c>
      <c r="BG15">
        <f>'Two-handed strike'!E18</f>
        <v>0</v>
      </c>
      <c r="BH15">
        <f>'Two-handed strike'!F18</f>
        <v>0</v>
      </c>
      <c r="BI15">
        <f>'Two-handed strike'!G18</f>
        <v>0</v>
      </c>
      <c r="BJ15">
        <f>'Two-handed strike'!H18</f>
        <v>0</v>
      </c>
      <c r="BK15">
        <f>'Two-handed strike'!I18</f>
        <v>0</v>
      </c>
      <c r="BL15">
        <f>'Forehand strike'!B18</f>
        <v>0</v>
      </c>
      <c r="BM15">
        <f>'Forehand strike'!C18</f>
        <v>0</v>
      </c>
      <c r="BN15">
        <f>'Forehand strike'!D18</f>
        <v>0</v>
      </c>
      <c r="BO15">
        <f>'Forehand strike'!E18</f>
        <v>0</v>
      </c>
      <c r="BP15">
        <f>'Forehand strike'!F18</f>
        <v>0</v>
      </c>
      <c r="BQ15">
        <f>'Forehand strike'!G18</f>
        <v>0</v>
      </c>
      <c r="BR15">
        <f>'Forehand strike'!H18</f>
        <v>0</v>
      </c>
      <c r="BS15">
        <f>Gymnastics!B18</f>
        <v>2</v>
      </c>
      <c r="BT15">
        <f>Gymnastics!C18</f>
        <v>2</v>
      </c>
      <c r="BU15">
        <f>Gymnastics!D18</f>
        <v>3</v>
      </c>
      <c r="BV15">
        <f>Gymnastics!E18</f>
        <v>1</v>
      </c>
      <c r="BW15">
        <f>IFERROR(
    INDEX('ASTS 2+3'!A:L, MATCH(A15, 'ASTS 2+3'!A:A, 0), 3),
    IFERROR(
        INDEX('ASTS 2+3'!J:L, MATCH(A15, 'ASTS 2+3'!J:J, 0), 3),
    "")
)</f>
        <v>33</v>
      </c>
      <c r="BX15">
        <f>'Rock to stand'!B18</f>
        <v>0</v>
      </c>
      <c r="BY15">
        <f>'Rock to stand'!C18</f>
        <v>0</v>
      </c>
      <c r="BZ15">
        <f>'Rock to stand'!D18</f>
        <v>0</v>
      </c>
      <c r="CA15">
        <f>'Rock to stand'!E18</f>
        <v>0</v>
      </c>
      <c r="CB15">
        <f>'Rock to stand'!F18</f>
        <v>0</v>
      </c>
      <c r="CC15">
        <f>'Rock to stand'!G18</f>
        <v>0</v>
      </c>
      <c r="CD15">
        <f>'Rock to stand'!H18</f>
        <v>0</v>
      </c>
      <c r="CE15">
        <f>'Rock to stand'!I18</f>
        <v>0</v>
      </c>
    </row>
    <row r="16" spans="1:84" x14ac:dyDescent="0.25">
      <c r="A16" t="str">
        <f>'Class List'!A19</f>
        <v>Student</v>
      </c>
      <c r="B16" t="str">
        <f>'Class List'!B19</f>
        <v>f</v>
      </c>
      <c r="C16">
        <f>'Class List'!C19</f>
        <v>10</v>
      </c>
      <c r="D16">
        <f>'Run'!B19</f>
        <v>0</v>
      </c>
      <c r="E16">
        <f>'Run'!C19</f>
        <v>0</v>
      </c>
      <c r="F16">
        <f>'Run'!D19</f>
        <v>0</v>
      </c>
      <c r="G16">
        <f>'Run'!E19</f>
        <v>0</v>
      </c>
      <c r="H16">
        <f>'Run'!F19</f>
        <v>0</v>
      </c>
      <c r="I16">
        <f>'Vertical Jump'!B19</f>
        <v>0</v>
      </c>
      <c r="J16">
        <f>'Vertical Jump'!C19</f>
        <v>0</v>
      </c>
      <c r="K16">
        <f>'Vertical Jump'!D19</f>
        <v>0</v>
      </c>
      <c r="L16">
        <f>'Vertical Jump'!E19</f>
        <v>0</v>
      </c>
      <c r="M16">
        <f>'Vertical Jump'!F19</f>
        <v>0</v>
      </c>
      <c r="N16">
        <f>Leap!B19</f>
        <v>0</v>
      </c>
      <c r="O16">
        <f>Leap!C19</f>
        <v>0</v>
      </c>
      <c r="P16">
        <f>Leap!D19</f>
        <v>0</v>
      </c>
      <c r="Q16">
        <f>Leap!E19</f>
        <v>0</v>
      </c>
      <c r="R16">
        <f>Leap!F19</f>
        <v>0</v>
      </c>
      <c r="S16">
        <f>Dodge!B19</f>
        <v>0</v>
      </c>
      <c r="T16">
        <f>Dodge!C19</f>
        <v>0</v>
      </c>
      <c r="U16">
        <f>Dodge!D19</f>
        <v>0</v>
      </c>
      <c r="V16">
        <f>Dodge!E19</f>
        <v>0</v>
      </c>
      <c r="W16">
        <f>Dodge!F19</f>
        <v>0</v>
      </c>
      <c r="X16">
        <f>Catch!B19</f>
        <v>0</v>
      </c>
      <c r="Y16">
        <f>Catch!C19</f>
        <v>0</v>
      </c>
      <c r="Z16">
        <f>Catch!D19</f>
        <v>0</v>
      </c>
      <c r="AA16">
        <f>Catch!E19</f>
        <v>0</v>
      </c>
      <c r="AB16">
        <f>Catch!F19</f>
        <v>0</v>
      </c>
      <c r="AC16">
        <f>Catch!G19</f>
        <v>0</v>
      </c>
      <c r="AD16">
        <f>'Overhand throw'!B19</f>
        <v>0</v>
      </c>
      <c r="AE16">
        <f>'Overhand throw'!C19</f>
        <v>0</v>
      </c>
      <c r="AF16">
        <f>'Overhand throw'!D19</f>
        <v>0</v>
      </c>
      <c r="AG16">
        <f>'Overhand throw'!E19</f>
        <v>0</v>
      </c>
      <c r="AH16">
        <f>'Overhand throw'!F19</f>
        <v>0</v>
      </c>
      <c r="AI16">
        <f>'Overhand throw'!G19</f>
        <v>0</v>
      </c>
      <c r="AJ16">
        <f>Kick!B19</f>
        <v>0</v>
      </c>
      <c r="AK16">
        <f>Kick!C19</f>
        <v>0</v>
      </c>
      <c r="AL16">
        <f>Kick!D19</f>
        <v>0</v>
      </c>
      <c r="AM16">
        <f>Kick!E19</f>
        <v>0</v>
      </c>
      <c r="AN16">
        <f>Kick!F19</f>
        <v>0</v>
      </c>
      <c r="AO16">
        <f>Kick!G19</f>
        <v>0</v>
      </c>
      <c r="AP16">
        <f>Kick!H19</f>
        <v>1</v>
      </c>
      <c r="AQ16">
        <f>Punt!B19</f>
        <v>0</v>
      </c>
      <c r="AR16">
        <f>Punt!C19</f>
        <v>0</v>
      </c>
      <c r="AS16">
        <f>Punt!D19</f>
        <v>0</v>
      </c>
      <c r="AT16">
        <f>Punt!E19</f>
        <v>0</v>
      </c>
      <c r="AU16">
        <f>Punt!F19</f>
        <v>0</v>
      </c>
      <c r="AV16">
        <f>Punt!G19</f>
        <v>0</v>
      </c>
      <c r="AW16">
        <f>Punt!H19</f>
        <v>0</v>
      </c>
      <c r="AX16">
        <f>Punt!I19</f>
        <v>0</v>
      </c>
      <c r="AY16">
        <f>Bounce!B19</f>
        <v>1</v>
      </c>
      <c r="AZ16">
        <f>Bounce!C19</f>
        <v>1</v>
      </c>
      <c r="BA16">
        <f>Bounce!D19</f>
        <v>1</v>
      </c>
      <c r="BB16">
        <f>Bounce!E19</f>
        <v>1</v>
      </c>
      <c r="BC16">
        <f>Bounce!F19</f>
        <v>1</v>
      </c>
      <c r="BD16">
        <f>'Two-handed strike'!B19</f>
        <v>0</v>
      </c>
      <c r="BE16">
        <f>'Two-handed strike'!C19</f>
        <v>0</v>
      </c>
      <c r="BF16">
        <f>'Two-handed strike'!D19</f>
        <v>0</v>
      </c>
      <c r="BG16">
        <f>'Two-handed strike'!E19</f>
        <v>0</v>
      </c>
      <c r="BH16">
        <f>'Two-handed strike'!F19</f>
        <v>0</v>
      </c>
      <c r="BI16">
        <f>'Two-handed strike'!G19</f>
        <v>0</v>
      </c>
      <c r="BJ16">
        <f>'Two-handed strike'!H19</f>
        <v>0</v>
      </c>
      <c r="BK16">
        <f>'Two-handed strike'!I19</f>
        <v>0</v>
      </c>
      <c r="BL16">
        <f>'Forehand strike'!B19</f>
        <v>0</v>
      </c>
      <c r="BM16">
        <f>'Forehand strike'!C19</f>
        <v>0</v>
      </c>
      <c r="BN16">
        <f>'Forehand strike'!D19</f>
        <v>0</v>
      </c>
      <c r="BO16">
        <f>'Forehand strike'!E19</f>
        <v>0</v>
      </c>
      <c r="BP16">
        <f>'Forehand strike'!F19</f>
        <v>0</v>
      </c>
      <c r="BQ16">
        <f>'Forehand strike'!G19</f>
        <v>0</v>
      </c>
      <c r="BR16">
        <f>'Forehand strike'!H19</f>
        <v>0</v>
      </c>
      <c r="BS16">
        <f>Gymnastics!B19</f>
        <v>4</v>
      </c>
      <c r="BT16">
        <f>Gymnastics!C19</f>
        <v>3</v>
      </c>
      <c r="BU16">
        <f>Gymnastics!D19</f>
        <v>4</v>
      </c>
      <c r="BV16">
        <f>Gymnastics!E19</f>
        <v>1</v>
      </c>
      <c r="BW16">
        <f>IFERROR(
    INDEX('ASTS 2+3'!A:L, MATCH(A16, 'ASTS 2+3'!A:A, 0), 3),
    IFERROR(
        INDEX('ASTS 2+3'!J:L, MATCH(A16, 'ASTS 2+3'!J:J, 0), 3),
    "")
)</f>
        <v>33</v>
      </c>
      <c r="BX16">
        <f>'Rock to stand'!B19</f>
        <v>0</v>
      </c>
      <c r="BY16">
        <f>'Rock to stand'!C19</f>
        <v>0</v>
      </c>
      <c r="BZ16">
        <f>'Rock to stand'!D19</f>
        <v>0</v>
      </c>
      <c r="CA16">
        <f>'Rock to stand'!E19</f>
        <v>0</v>
      </c>
      <c r="CB16">
        <f>'Rock to stand'!F19</f>
        <v>0</v>
      </c>
      <c r="CC16">
        <f>'Rock to stand'!G19</f>
        <v>0</v>
      </c>
      <c r="CD16">
        <f>'Rock to stand'!H19</f>
        <v>0</v>
      </c>
      <c r="CE16">
        <f>'Rock to stand'!I19</f>
        <v>0</v>
      </c>
    </row>
    <row r="17" spans="1:83" x14ac:dyDescent="0.25">
      <c r="A17" t="str">
        <f>'Class List'!A20</f>
        <v>Student</v>
      </c>
      <c r="B17" t="str">
        <f>'Class List'!B20</f>
        <v>f</v>
      </c>
      <c r="C17">
        <f>'Class List'!C20</f>
        <v>10</v>
      </c>
      <c r="D17">
        <f>'Run'!B20</f>
        <v>0</v>
      </c>
      <c r="E17">
        <f>'Run'!C20</f>
        <v>0</v>
      </c>
      <c r="F17">
        <f>'Run'!D20</f>
        <v>0</v>
      </c>
      <c r="G17">
        <f>'Run'!E20</f>
        <v>0</v>
      </c>
      <c r="H17">
        <f>'Run'!F20</f>
        <v>0</v>
      </c>
      <c r="I17">
        <f>'Vertical Jump'!B20</f>
        <v>0</v>
      </c>
      <c r="J17">
        <f>'Vertical Jump'!C20</f>
        <v>0</v>
      </c>
      <c r="K17">
        <f>'Vertical Jump'!D20</f>
        <v>0</v>
      </c>
      <c r="L17">
        <f>'Vertical Jump'!E20</f>
        <v>0</v>
      </c>
      <c r="M17">
        <f>'Vertical Jump'!F20</f>
        <v>0</v>
      </c>
      <c r="N17">
        <f>Leap!B20</f>
        <v>0</v>
      </c>
      <c r="O17">
        <f>Leap!C20</f>
        <v>0</v>
      </c>
      <c r="P17">
        <f>Leap!D20</f>
        <v>0</v>
      </c>
      <c r="Q17">
        <f>Leap!E20</f>
        <v>0</v>
      </c>
      <c r="R17">
        <f>Leap!F20</f>
        <v>0</v>
      </c>
      <c r="S17">
        <f>Dodge!B20</f>
        <v>0</v>
      </c>
      <c r="T17">
        <f>Dodge!C20</f>
        <v>0</v>
      </c>
      <c r="U17">
        <f>Dodge!D20</f>
        <v>0</v>
      </c>
      <c r="V17">
        <f>Dodge!E20</f>
        <v>0</v>
      </c>
      <c r="W17">
        <f>Dodge!F20</f>
        <v>0</v>
      </c>
      <c r="X17">
        <f>Catch!B20</f>
        <v>0</v>
      </c>
      <c r="Y17">
        <f>Catch!C20</f>
        <v>0</v>
      </c>
      <c r="Z17">
        <f>Catch!D20</f>
        <v>0</v>
      </c>
      <c r="AA17">
        <f>Catch!E20</f>
        <v>0</v>
      </c>
      <c r="AB17">
        <f>Catch!F20</f>
        <v>0</v>
      </c>
      <c r="AC17">
        <f>Catch!G20</f>
        <v>0</v>
      </c>
      <c r="AD17">
        <f>'Overhand throw'!B20</f>
        <v>0</v>
      </c>
      <c r="AE17">
        <f>'Overhand throw'!C20</f>
        <v>0</v>
      </c>
      <c r="AF17">
        <f>'Overhand throw'!D20</f>
        <v>0</v>
      </c>
      <c r="AG17">
        <f>'Overhand throw'!E20</f>
        <v>0</v>
      </c>
      <c r="AH17">
        <f>'Overhand throw'!F20</f>
        <v>0</v>
      </c>
      <c r="AI17">
        <f>'Overhand throw'!G20</f>
        <v>0</v>
      </c>
      <c r="AJ17">
        <f>Kick!B20</f>
        <v>0</v>
      </c>
      <c r="AK17">
        <f>Kick!C20</f>
        <v>0</v>
      </c>
      <c r="AL17">
        <f>Kick!D20</f>
        <v>0</v>
      </c>
      <c r="AM17">
        <f>Kick!E20</f>
        <v>0</v>
      </c>
      <c r="AN17">
        <f>Kick!F20</f>
        <v>0</v>
      </c>
      <c r="AO17">
        <f>Kick!G20</f>
        <v>0</v>
      </c>
      <c r="AP17">
        <f>Kick!H20</f>
        <v>1</v>
      </c>
      <c r="AQ17">
        <f>Punt!B20</f>
        <v>0</v>
      </c>
      <c r="AR17">
        <f>Punt!C20</f>
        <v>0</v>
      </c>
      <c r="AS17">
        <f>Punt!D20</f>
        <v>0</v>
      </c>
      <c r="AT17">
        <f>Punt!E20</f>
        <v>0</v>
      </c>
      <c r="AU17">
        <f>Punt!F20</f>
        <v>0</v>
      </c>
      <c r="AV17">
        <f>Punt!G20</f>
        <v>0</v>
      </c>
      <c r="AW17">
        <f>Punt!H20</f>
        <v>0</v>
      </c>
      <c r="AX17">
        <f>Punt!I20</f>
        <v>0</v>
      </c>
      <c r="AY17">
        <f>Bounce!B20</f>
        <v>1</v>
      </c>
      <c r="AZ17">
        <f>Bounce!C20</f>
        <v>1</v>
      </c>
      <c r="BA17">
        <f>Bounce!D20</f>
        <v>1</v>
      </c>
      <c r="BB17">
        <f>Bounce!E20</f>
        <v>1</v>
      </c>
      <c r="BC17">
        <f>Bounce!F20</f>
        <v>1</v>
      </c>
      <c r="BD17">
        <f>'Two-handed strike'!B20</f>
        <v>0</v>
      </c>
      <c r="BE17">
        <f>'Two-handed strike'!C20</f>
        <v>0</v>
      </c>
      <c r="BF17">
        <f>'Two-handed strike'!D20</f>
        <v>0</v>
      </c>
      <c r="BG17">
        <f>'Two-handed strike'!E20</f>
        <v>0</v>
      </c>
      <c r="BH17">
        <f>'Two-handed strike'!F20</f>
        <v>0</v>
      </c>
      <c r="BI17">
        <f>'Two-handed strike'!G20</f>
        <v>0</v>
      </c>
      <c r="BJ17">
        <f>'Two-handed strike'!H20</f>
        <v>0</v>
      </c>
      <c r="BK17">
        <f>'Two-handed strike'!I20</f>
        <v>0</v>
      </c>
      <c r="BL17">
        <f>'Forehand strike'!B20</f>
        <v>0</v>
      </c>
      <c r="BM17">
        <f>'Forehand strike'!C20</f>
        <v>0</v>
      </c>
      <c r="BN17">
        <f>'Forehand strike'!D20</f>
        <v>0</v>
      </c>
      <c r="BO17">
        <f>'Forehand strike'!E20</f>
        <v>0</v>
      </c>
      <c r="BP17">
        <f>'Forehand strike'!F20</f>
        <v>0</v>
      </c>
      <c r="BQ17">
        <f>'Forehand strike'!G20</f>
        <v>0</v>
      </c>
      <c r="BR17">
        <f>'Forehand strike'!H20</f>
        <v>0</v>
      </c>
      <c r="BS17">
        <f>Gymnastics!B20</f>
        <v>0</v>
      </c>
      <c r="BT17">
        <f>Gymnastics!C20</f>
        <v>0</v>
      </c>
      <c r="BU17">
        <f>Gymnastics!D20</f>
        <v>0</v>
      </c>
      <c r="BV17">
        <f>Gymnastics!E20</f>
        <v>1</v>
      </c>
      <c r="BW17">
        <f>IFERROR(
    INDEX('ASTS 2+3'!A:L, MATCH(A17, 'ASTS 2+3'!A:A, 0), 3),
    IFERROR(
        INDEX('ASTS 2+3'!J:L, MATCH(A17, 'ASTS 2+3'!J:J, 0), 3),
    "")
)</f>
        <v>33</v>
      </c>
      <c r="BX17">
        <f>'Rock to stand'!B20</f>
        <v>0</v>
      </c>
      <c r="BY17">
        <f>'Rock to stand'!C20</f>
        <v>0</v>
      </c>
      <c r="BZ17">
        <f>'Rock to stand'!D20</f>
        <v>0</v>
      </c>
      <c r="CA17">
        <f>'Rock to stand'!E20</f>
        <v>0</v>
      </c>
      <c r="CB17">
        <f>'Rock to stand'!F20</f>
        <v>0</v>
      </c>
      <c r="CC17">
        <f>'Rock to stand'!G20</f>
        <v>0</v>
      </c>
      <c r="CD17">
        <f>'Rock to stand'!H20</f>
        <v>0</v>
      </c>
      <c r="CE17">
        <f>'Rock to stand'!I20</f>
        <v>0</v>
      </c>
    </row>
    <row r="18" spans="1:83" x14ac:dyDescent="0.25">
      <c r="A18" t="str">
        <f>'Class List'!A21</f>
        <v>Student</v>
      </c>
      <c r="B18" t="str">
        <f>'Class List'!B21</f>
        <v>f</v>
      </c>
      <c r="C18">
        <f>'Class List'!C21</f>
        <v>9</v>
      </c>
      <c r="D18">
        <f>'Run'!B21</f>
        <v>0</v>
      </c>
      <c r="E18">
        <f>'Run'!C21</f>
        <v>0</v>
      </c>
      <c r="F18">
        <f>'Run'!D21</f>
        <v>0</v>
      </c>
      <c r="G18">
        <f>'Run'!E21</f>
        <v>0</v>
      </c>
      <c r="H18">
        <f>'Run'!F21</f>
        <v>0</v>
      </c>
      <c r="I18">
        <f>'Vertical Jump'!B21</f>
        <v>0</v>
      </c>
      <c r="J18">
        <f>'Vertical Jump'!C21</f>
        <v>0</v>
      </c>
      <c r="K18">
        <f>'Vertical Jump'!D21</f>
        <v>0</v>
      </c>
      <c r="L18">
        <f>'Vertical Jump'!E21</f>
        <v>0</v>
      </c>
      <c r="M18">
        <f>'Vertical Jump'!F21</f>
        <v>0</v>
      </c>
      <c r="N18">
        <f>Leap!B21</f>
        <v>0</v>
      </c>
      <c r="O18">
        <f>Leap!C21</f>
        <v>0</v>
      </c>
      <c r="P18">
        <f>Leap!D21</f>
        <v>0</v>
      </c>
      <c r="Q18">
        <f>Leap!E21</f>
        <v>0</v>
      </c>
      <c r="R18">
        <f>Leap!F21</f>
        <v>0</v>
      </c>
      <c r="S18">
        <f>Dodge!B21</f>
        <v>0</v>
      </c>
      <c r="T18">
        <f>Dodge!C21</f>
        <v>0</v>
      </c>
      <c r="U18">
        <f>Dodge!D21</f>
        <v>0</v>
      </c>
      <c r="V18">
        <f>Dodge!E21</f>
        <v>0</v>
      </c>
      <c r="W18">
        <f>Dodge!F21</f>
        <v>0</v>
      </c>
      <c r="X18">
        <f>Catch!B21</f>
        <v>0</v>
      </c>
      <c r="Y18">
        <f>Catch!C21</f>
        <v>0</v>
      </c>
      <c r="Z18">
        <f>Catch!D21</f>
        <v>0</v>
      </c>
      <c r="AA18">
        <f>Catch!E21</f>
        <v>0</v>
      </c>
      <c r="AB18">
        <f>Catch!F21</f>
        <v>0</v>
      </c>
      <c r="AC18">
        <f>Catch!G21</f>
        <v>0</v>
      </c>
      <c r="AD18">
        <f>'Overhand throw'!B21</f>
        <v>0</v>
      </c>
      <c r="AE18">
        <f>'Overhand throw'!C21</f>
        <v>0</v>
      </c>
      <c r="AF18">
        <f>'Overhand throw'!D21</f>
        <v>0</v>
      </c>
      <c r="AG18">
        <f>'Overhand throw'!E21</f>
        <v>0</v>
      </c>
      <c r="AH18">
        <f>'Overhand throw'!F21</f>
        <v>0</v>
      </c>
      <c r="AI18">
        <f>'Overhand throw'!G21</f>
        <v>0</v>
      </c>
      <c r="AJ18">
        <f>Kick!B21</f>
        <v>0</v>
      </c>
      <c r="AK18">
        <f>Kick!C21</f>
        <v>0</v>
      </c>
      <c r="AL18">
        <f>Kick!D21</f>
        <v>0</v>
      </c>
      <c r="AM18">
        <f>Kick!E21</f>
        <v>0</v>
      </c>
      <c r="AN18">
        <f>Kick!F21</f>
        <v>0</v>
      </c>
      <c r="AO18">
        <f>Kick!G21</f>
        <v>0</v>
      </c>
      <c r="AP18">
        <f>Kick!H21</f>
        <v>1</v>
      </c>
      <c r="AQ18">
        <f>Punt!B21</f>
        <v>0</v>
      </c>
      <c r="AR18">
        <f>Punt!C21</f>
        <v>0</v>
      </c>
      <c r="AS18">
        <f>Punt!D21</f>
        <v>0</v>
      </c>
      <c r="AT18">
        <f>Punt!E21</f>
        <v>0</v>
      </c>
      <c r="AU18">
        <f>Punt!F21</f>
        <v>0</v>
      </c>
      <c r="AV18">
        <f>Punt!G21</f>
        <v>0</v>
      </c>
      <c r="AW18">
        <f>Punt!H21</f>
        <v>0</v>
      </c>
      <c r="AX18">
        <f>Punt!I21</f>
        <v>0</v>
      </c>
      <c r="AY18">
        <f>Bounce!B21</f>
        <v>1</v>
      </c>
      <c r="AZ18">
        <f>Bounce!C21</f>
        <v>1</v>
      </c>
      <c r="BA18">
        <f>Bounce!D21</f>
        <v>1</v>
      </c>
      <c r="BB18">
        <f>Bounce!E21</f>
        <v>1</v>
      </c>
      <c r="BC18">
        <f>Bounce!F21</f>
        <v>1</v>
      </c>
      <c r="BD18">
        <f>'Two-handed strike'!B21</f>
        <v>0</v>
      </c>
      <c r="BE18">
        <f>'Two-handed strike'!C21</f>
        <v>0</v>
      </c>
      <c r="BF18">
        <f>'Two-handed strike'!D21</f>
        <v>0</v>
      </c>
      <c r="BG18">
        <f>'Two-handed strike'!E21</f>
        <v>0</v>
      </c>
      <c r="BH18">
        <f>'Two-handed strike'!F21</f>
        <v>0</v>
      </c>
      <c r="BI18">
        <f>'Two-handed strike'!G21</f>
        <v>0</v>
      </c>
      <c r="BJ18">
        <f>'Two-handed strike'!H21</f>
        <v>0</v>
      </c>
      <c r="BK18">
        <f>'Two-handed strike'!I21</f>
        <v>0</v>
      </c>
      <c r="BL18">
        <f>'Forehand strike'!B21</f>
        <v>0</v>
      </c>
      <c r="BM18">
        <f>'Forehand strike'!C21</f>
        <v>0</v>
      </c>
      <c r="BN18">
        <f>'Forehand strike'!D21</f>
        <v>0</v>
      </c>
      <c r="BO18">
        <f>'Forehand strike'!E21</f>
        <v>0</v>
      </c>
      <c r="BP18">
        <f>'Forehand strike'!F21</f>
        <v>0</v>
      </c>
      <c r="BQ18">
        <f>'Forehand strike'!G21</f>
        <v>0</v>
      </c>
      <c r="BR18">
        <f>'Forehand strike'!H21</f>
        <v>0</v>
      </c>
      <c r="BS18">
        <f>Gymnastics!B21</f>
        <v>2</v>
      </c>
      <c r="BT18">
        <f>Gymnastics!C21</f>
        <v>2</v>
      </c>
      <c r="BU18">
        <f>Gymnastics!D21</f>
        <v>1</v>
      </c>
      <c r="BV18">
        <f>Gymnastics!E21</f>
        <v>1</v>
      </c>
      <c r="BW18">
        <f>IFERROR(
    INDEX('ASTS 2+3'!A:L, MATCH(A18, 'ASTS 2+3'!A:A, 0), 3),
    IFERROR(
        INDEX('ASTS 2+3'!J:L, MATCH(A18, 'ASTS 2+3'!J:J, 0), 3),
    "")
)</f>
        <v>33</v>
      </c>
      <c r="BX18">
        <f>'Rock to stand'!B21</f>
        <v>0</v>
      </c>
      <c r="BY18">
        <f>'Rock to stand'!C21</f>
        <v>0</v>
      </c>
      <c r="BZ18">
        <f>'Rock to stand'!D21</f>
        <v>0</v>
      </c>
      <c r="CA18">
        <f>'Rock to stand'!E21</f>
        <v>0</v>
      </c>
      <c r="CB18">
        <f>'Rock to stand'!F21</f>
        <v>0</v>
      </c>
      <c r="CC18">
        <f>'Rock to stand'!G21</f>
        <v>0</v>
      </c>
      <c r="CD18">
        <f>'Rock to stand'!H21</f>
        <v>0</v>
      </c>
      <c r="CE18">
        <f>'Rock to stand'!I21</f>
        <v>0</v>
      </c>
    </row>
    <row r="19" spans="1:83" x14ac:dyDescent="0.25">
      <c r="A19" t="str">
        <f>'Class List'!A22</f>
        <v>Student</v>
      </c>
      <c r="B19" t="str">
        <f>'Class List'!B22</f>
        <v>m</v>
      </c>
      <c r="C19">
        <f>'Class List'!C22</f>
        <v>10</v>
      </c>
      <c r="D19">
        <f>'Run'!B22</f>
        <v>0</v>
      </c>
      <c r="E19">
        <f>'Run'!C22</f>
        <v>0</v>
      </c>
      <c r="F19">
        <f>'Run'!D22</f>
        <v>0</v>
      </c>
      <c r="G19">
        <f>'Run'!E22</f>
        <v>0</v>
      </c>
      <c r="H19">
        <f>'Run'!F22</f>
        <v>0</v>
      </c>
      <c r="I19">
        <f>'Vertical Jump'!B22</f>
        <v>0</v>
      </c>
      <c r="J19">
        <f>'Vertical Jump'!C22</f>
        <v>0</v>
      </c>
      <c r="K19">
        <f>'Vertical Jump'!D22</f>
        <v>0</v>
      </c>
      <c r="L19">
        <f>'Vertical Jump'!E22</f>
        <v>0</v>
      </c>
      <c r="M19">
        <f>'Vertical Jump'!F22</f>
        <v>0</v>
      </c>
      <c r="N19">
        <f>Leap!B22</f>
        <v>0</v>
      </c>
      <c r="O19">
        <f>Leap!C22</f>
        <v>0</v>
      </c>
      <c r="P19">
        <f>Leap!D22</f>
        <v>0</v>
      </c>
      <c r="Q19">
        <f>Leap!E22</f>
        <v>0</v>
      </c>
      <c r="R19">
        <f>Leap!F22</f>
        <v>0</v>
      </c>
      <c r="S19">
        <f>Dodge!B22</f>
        <v>0</v>
      </c>
      <c r="T19">
        <f>Dodge!C22</f>
        <v>0</v>
      </c>
      <c r="U19">
        <f>Dodge!D22</f>
        <v>0</v>
      </c>
      <c r="V19">
        <f>Dodge!E22</f>
        <v>0</v>
      </c>
      <c r="W19">
        <f>Dodge!F22</f>
        <v>0</v>
      </c>
      <c r="X19">
        <f>Catch!B22</f>
        <v>0</v>
      </c>
      <c r="Y19">
        <f>Catch!C22</f>
        <v>0</v>
      </c>
      <c r="Z19">
        <f>Catch!D22</f>
        <v>0</v>
      </c>
      <c r="AA19">
        <f>Catch!E22</f>
        <v>0</v>
      </c>
      <c r="AB19">
        <f>Catch!F22</f>
        <v>0</v>
      </c>
      <c r="AC19">
        <f>Catch!G22</f>
        <v>0</v>
      </c>
      <c r="AD19">
        <f>'Overhand throw'!B22</f>
        <v>0</v>
      </c>
      <c r="AE19">
        <f>'Overhand throw'!C22</f>
        <v>0</v>
      </c>
      <c r="AF19">
        <f>'Overhand throw'!D22</f>
        <v>0</v>
      </c>
      <c r="AG19">
        <f>'Overhand throw'!E22</f>
        <v>0</v>
      </c>
      <c r="AH19">
        <f>'Overhand throw'!F22</f>
        <v>0</v>
      </c>
      <c r="AI19">
        <f>'Overhand throw'!G22</f>
        <v>0</v>
      </c>
      <c r="AJ19">
        <f>Kick!B22</f>
        <v>0</v>
      </c>
      <c r="AK19">
        <f>Kick!C22</f>
        <v>0</v>
      </c>
      <c r="AL19">
        <f>Kick!D22</f>
        <v>0</v>
      </c>
      <c r="AM19">
        <f>Kick!E22</f>
        <v>0</v>
      </c>
      <c r="AN19">
        <f>Kick!F22</f>
        <v>0</v>
      </c>
      <c r="AO19">
        <f>Kick!G22</f>
        <v>0</v>
      </c>
      <c r="AP19">
        <f>Kick!H22</f>
        <v>1</v>
      </c>
      <c r="AQ19">
        <f>Punt!B22</f>
        <v>0</v>
      </c>
      <c r="AR19">
        <f>Punt!C22</f>
        <v>0</v>
      </c>
      <c r="AS19">
        <f>Punt!D22</f>
        <v>0</v>
      </c>
      <c r="AT19">
        <f>Punt!E22</f>
        <v>0</v>
      </c>
      <c r="AU19">
        <f>Punt!F22</f>
        <v>0</v>
      </c>
      <c r="AV19">
        <f>Punt!G22</f>
        <v>0</v>
      </c>
      <c r="AW19">
        <f>Punt!H22</f>
        <v>0</v>
      </c>
      <c r="AX19">
        <f>Punt!I22</f>
        <v>0</v>
      </c>
      <c r="AY19">
        <f>Bounce!B22</f>
        <v>1</v>
      </c>
      <c r="AZ19">
        <f>Bounce!C22</f>
        <v>1</v>
      </c>
      <c r="BA19">
        <f>Bounce!D22</f>
        <v>1</v>
      </c>
      <c r="BB19">
        <f>Bounce!E22</f>
        <v>1</v>
      </c>
      <c r="BC19">
        <f>Bounce!F22</f>
        <v>1</v>
      </c>
      <c r="BD19">
        <f>'Two-handed strike'!B22</f>
        <v>0</v>
      </c>
      <c r="BE19">
        <f>'Two-handed strike'!C22</f>
        <v>0</v>
      </c>
      <c r="BF19">
        <f>'Two-handed strike'!D22</f>
        <v>0</v>
      </c>
      <c r="BG19">
        <f>'Two-handed strike'!E22</f>
        <v>0</v>
      </c>
      <c r="BH19">
        <f>'Two-handed strike'!F22</f>
        <v>0</v>
      </c>
      <c r="BI19">
        <f>'Two-handed strike'!G22</f>
        <v>0</v>
      </c>
      <c r="BJ19">
        <f>'Two-handed strike'!H22</f>
        <v>0</v>
      </c>
      <c r="BK19">
        <f>'Two-handed strike'!I22</f>
        <v>0</v>
      </c>
      <c r="BL19">
        <f>'Forehand strike'!B22</f>
        <v>0</v>
      </c>
      <c r="BM19">
        <f>'Forehand strike'!C22</f>
        <v>0</v>
      </c>
      <c r="BN19">
        <f>'Forehand strike'!D22</f>
        <v>0</v>
      </c>
      <c r="BO19">
        <f>'Forehand strike'!E22</f>
        <v>0</v>
      </c>
      <c r="BP19">
        <f>'Forehand strike'!F22</f>
        <v>0</v>
      </c>
      <c r="BQ19">
        <f>'Forehand strike'!G22</f>
        <v>0</v>
      </c>
      <c r="BR19">
        <f>'Forehand strike'!H22</f>
        <v>0</v>
      </c>
      <c r="BS19">
        <f>Gymnastics!B22</f>
        <v>0</v>
      </c>
      <c r="BT19">
        <f>Gymnastics!C22</f>
        <v>0</v>
      </c>
      <c r="BU19">
        <f>Gymnastics!D22</f>
        <v>0</v>
      </c>
      <c r="BV19">
        <f>Gymnastics!E22</f>
        <v>1</v>
      </c>
      <c r="BW19">
        <f>IFERROR(
    INDEX('ASTS 2+3'!A:L, MATCH(A19, 'ASTS 2+3'!A:A, 0), 3),
    IFERROR(
        INDEX('ASTS 2+3'!J:L, MATCH(A19, 'ASTS 2+3'!J:J, 0), 3),
    "")
)</f>
        <v>33</v>
      </c>
      <c r="BX19">
        <f>'Rock to stand'!B22</f>
        <v>0</v>
      </c>
      <c r="BY19">
        <f>'Rock to stand'!C22</f>
        <v>0</v>
      </c>
      <c r="BZ19">
        <f>'Rock to stand'!D22</f>
        <v>0</v>
      </c>
      <c r="CA19">
        <f>'Rock to stand'!E22</f>
        <v>0</v>
      </c>
      <c r="CB19">
        <f>'Rock to stand'!F22</f>
        <v>0</v>
      </c>
      <c r="CC19">
        <f>'Rock to stand'!G22</f>
        <v>0</v>
      </c>
      <c r="CD19">
        <f>'Rock to stand'!H22</f>
        <v>0</v>
      </c>
      <c r="CE19">
        <f>'Rock to stand'!I22</f>
        <v>0</v>
      </c>
    </row>
    <row r="20" spans="1:83" x14ac:dyDescent="0.25">
      <c r="A20" t="str">
        <f>'Class List'!A23</f>
        <v>Student</v>
      </c>
      <c r="B20" t="str">
        <f>'Class List'!B23</f>
        <v>m</v>
      </c>
      <c r="C20">
        <f>'Class List'!C23</f>
        <v>10</v>
      </c>
      <c r="D20">
        <f>'Run'!B23</f>
        <v>0</v>
      </c>
      <c r="E20">
        <f>'Run'!C23</f>
        <v>0</v>
      </c>
      <c r="F20">
        <f>'Run'!D23</f>
        <v>0</v>
      </c>
      <c r="G20">
        <f>'Run'!E23</f>
        <v>0</v>
      </c>
      <c r="H20">
        <f>'Run'!F23</f>
        <v>0</v>
      </c>
      <c r="I20">
        <f>'Vertical Jump'!B23</f>
        <v>0</v>
      </c>
      <c r="J20">
        <f>'Vertical Jump'!C23</f>
        <v>0</v>
      </c>
      <c r="K20">
        <f>'Vertical Jump'!D23</f>
        <v>0</v>
      </c>
      <c r="L20">
        <f>'Vertical Jump'!E23</f>
        <v>0</v>
      </c>
      <c r="M20">
        <f>'Vertical Jump'!F23</f>
        <v>0</v>
      </c>
      <c r="N20">
        <f>Leap!B23</f>
        <v>0</v>
      </c>
      <c r="O20">
        <f>Leap!C23</f>
        <v>0</v>
      </c>
      <c r="P20">
        <f>Leap!D23</f>
        <v>0</v>
      </c>
      <c r="Q20">
        <f>Leap!E23</f>
        <v>0</v>
      </c>
      <c r="R20">
        <f>Leap!F23</f>
        <v>0</v>
      </c>
      <c r="S20">
        <f>Dodge!B23</f>
        <v>0</v>
      </c>
      <c r="T20">
        <f>Dodge!C23</f>
        <v>0</v>
      </c>
      <c r="U20">
        <f>Dodge!D23</f>
        <v>0</v>
      </c>
      <c r="V20">
        <f>Dodge!E23</f>
        <v>0</v>
      </c>
      <c r="W20">
        <f>Dodge!F23</f>
        <v>0</v>
      </c>
      <c r="X20">
        <f>Catch!B23</f>
        <v>0</v>
      </c>
      <c r="Y20">
        <f>Catch!C23</f>
        <v>0</v>
      </c>
      <c r="Z20">
        <f>Catch!D23</f>
        <v>0</v>
      </c>
      <c r="AA20">
        <f>Catch!E23</f>
        <v>0</v>
      </c>
      <c r="AB20">
        <f>Catch!F23</f>
        <v>0</v>
      </c>
      <c r="AC20">
        <f>Catch!G23</f>
        <v>0</v>
      </c>
      <c r="AD20">
        <f>'Overhand throw'!B23</f>
        <v>0</v>
      </c>
      <c r="AE20">
        <f>'Overhand throw'!C23</f>
        <v>0</v>
      </c>
      <c r="AF20">
        <f>'Overhand throw'!D23</f>
        <v>0</v>
      </c>
      <c r="AG20">
        <f>'Overhand throw'!E23</f>
        <v>0</v>
      </c>
      <c r="AH20">
        <f>'Overhand throw'!F23</f>
        <v>0</v>
      </c>
      <c r="AI20">
        <f>'Overhand throw'!G23</f>
        <v>0</v>
      </c>
      <c r="AJ20">
        <f>Kick!B23</f>
        <v>0</v>
      </c>
      <c r="AK20">
        <f>Kick!C23</f>
        <v>0</v>
      </c>
      <c r="AL20">
        <f>Kick!D23</f>
        <v>0</v>
      </c>
      <c r="AM20">
        <f>Kick!E23</f>
        <v>0</v>
      </c>
      <c r="AN20">
        <f>Kick!F23</f>
        <v>0</v>
      </c>
      <c r="AO20">
        <f>Kick!G23</f>
        <v>0</v>
      </c>
      <c r="AP20">
        <f>Kick!H23</f>
        <v>1</v>
      </c>
      <c r="AQ20">
        <f>Punt!B23</f>
        <v>0</v>
      </c>
      <c r="AR20">
        <f>Punt!C23</f>
        <v>0</v>
      </c>
      <c r="AS20">
        <f>Punt!D23</f>
        <v>0</v>
      </c>
      <c r="AT20">
        <f>Punt!E23</f>
        <v>0</v>
      </c>
      <c r="AU20">
        <f>Punt!F23</f>
        <v>0</v>
      </c>
      <c r="AV20">
        <f>Punt!G23</f>
        <v>0</v>
      </c>
      <c r="AW20">
        <f>Punt!H23</f>
        <v>0</v>
      </c>
      <c r="AX20">
        <f>Punt!I23</f>
        <v>0</v>
      </c>
      <c r="AY20">
        <f>Bounce!B23</f>
        <v>1</v>
      </c>
      <c r="AZ20">
        <f>Bounce!C23</f>
        <v>1</v>
      </c>
      <c r="BA20">
        <f>Bounce!D23</f>
        <v>1</v>
      </c>
      <c r="BB20">
        <f>Bounce!E23</f>
        <v>1</v>
      </c>
      <c r="BC20">
        <f>Bounce!F23</f>
        <v>1</v>
      </c>
      <c r="BD20">
        <f>'Two-handed strike'!B23</f>
        <v>0</v>
      </c>
      <c r="BE20">
        <f>'Two-handed strike'!C23</f>
        <v>0</v>
      </c>
      <c r="BF20">
        <f>'Two-handed strike'!D23</f>
        <v>0</v>
      </c>
      <c r="BG20">
        <f>'Two-handed strike'!E23</f>
        <v>0</v>
      </c>
      <c r="BH20">
        <f>'Two-handed strike'!F23</f>
        <v>0</v>
      </c>
      <c r="BI20">
        <f>'Two-handed strike'!G23</f>
        <v>0</v>
      </c>
      <c r="BJ20">
        <f>'Two-handed strike'!H23</f>
        <v>0</v>
      </c>
      <c r="BK20">
        <f>'Two-handed strike'!I23</f>
        <v>0</v>
      </c>
      <c r="BL20">
        <f>'Forehand strike'!B23</f>
        <v>0</v>
      </c>
      <c r="BM20">
        <f>'Forehand strike'!C23</f>
        <v>0</v>
      </c>
      <c r="BN20">
        <f>'Forehand strike'!D23</f>
        <v>0</v>
      </c>
      <c r="BO20">
        <f>'Forehand strike'!E23</f>
        <v>0</v>
      </c>
      <c r="BP20">
        <f>'Forehand strike'!F23</f>
        <v>0</v>
      </c>
      <c r="BQ20">
        <f>'Forehand strike'!G23</f>
        <v>0</v>
      </c>
      <c r="BR20">
        <f>'Forehand strike'!H23</f>
        <v>0</v>
      </c>
      <c r="BS20">
        <f>Gymnastics!B23</f>
        <v>0</v>
      </c>
      <c r="BT20">
        <f>Gymnastics!C23</f>
        <v>0</v>
      </c>
      <c r="BU20">
        <f>Gymnastics!D23</f>
        <v>0</v>
      </c>
      <c r="BV20">
        <f>Gymnastics!E23</f>
        <v>1</v>
      </c>
      <c r="BW20">
        <f>IFERROR(
    INDEX('ASTS 2+3'!A:L, MATCH(A20, 'ASTS 2+3'!A:A, 0), 3),
    IFERROR(
        INDEX('ASTS 2+3'!J:L, MATCH(A20, 'ASTS 2+3'!J:J, 0), 3),
    "")
)</f>
        <v>33</v>
      </c>
      <c r="BX20">
        <f>'Rock to stand'!B23</f>
        <v>0</v>
      </c>
      <c r="BY20">
        <f>'Rock to stand'!C23</f>
        <v>0</v>
      </c>
      <c r="BZ20">
        <f>'Rock to stand'!D23</f>
        <v>0</v>
      </c>
      <c r="CA20">
        <f>'Rock to stand'!E23</f>
        <v>0</v>
      </c>
      <c r="CB20">
        <f>'Rock to stand'!F23</f>
        <v>0</v>
      </c>
      <c r="CC20">
        <f>'Rock to stand'!G23</f>
        <v>0</v>
      </c>
      <c r="CD20">
        <f>'Rock to stand'!H23</f>
        <v>0</v>
      </c>
      <c r="CE20">
        <f>'Rock to stand'!I23</f>
        <v>0</v>
      </c>
    </row>
    <row r="21" spans="1:83" x14ac:dyDescent="0.25">
      <c r="A21" t="str">
        <f>'Class List'!A24</f>
        <v>Student</v>
      </c>
      <c r="B21" t="str">
        <f>'Class List'!B24</f>
        <v>m</v>
      </c>
      <c r="C21">
        <f>'Class List'!C24</f>
        <v>9</v>
      </c>
      <c r="D21">
        <f>'Run'!B24</f>
        <v>0</v>
      </c>
      <c r="E21">
        <f>'Run'!C24</f>
        <v>0</v>
      </c>
      <c r="F21">
        <f>'Run'!D24</f>
        <v>0</v>
      </c>
      <c r="G21">
        <f>'Run'!E24</f>
        <v>0</v>
      </c>
      <c r="H21">
        <f>'Run'!F24</f>
        <v>0</v>
      </c>
      <c r="I21">
        <f>'Vertical Jump'!B24</f>
        <v>0</v>
      </c>
      <c r="J21">
        <f>'Vertical Jump'!C24</f>
        <v>0</v>
      </c>
      <c r="K21">
        <f>'Vertical Jump'!D24</f>
        <v>0</v>
      </c>
      <c r="L21">
        <f>'Vertical Jump'!E24</f>
        <v>0</v>
      </c>
      <c r="M21">
        <f>'Vertical Jump'!F24</f>
        <v>0</v>
      </c>
      <c r="N21">
        <f>Leap!B24</f>
        <v>0</v>
      </c>
      <c r="O21">
        <f>Leap!C24</f>
        <v>0</v>
      </c>
      <c r="P21">
        <f>Leap!D24</f>
        <v>0</v>
      </c>
      <c r="Q21">
        <f>Leap!E24</f>
        <v>0</v>
      </c>
      <c r="R21">
        <f>Leap!F24</f>
        <v>0</v>
      </c>
      <c r="S21">
        <f>Dodge!B24</f>
        <v>0</v>
      </c>
      <c r="T21">
        <f>Dodge!C24</f>
        <v>0</v>
      </c>
      <c r="U21">
        <f>Dodge!D24</f>
        <v>0</v>
      </c>
      <c r="V21">
        <f>Dodge!E24</f>
        <v>0</v>
      </c>
      <c r="W21">
        <f>Dodge!F24</f>
        <v>0</v>
      </c>
      <c r="X21">
        <f>Catch!B24</f>
        <v>0</v>
      </c>
      <c r="Y21">
        <f>Catch!C24</f>
        <v>0</v>
      </c>
      <c r="Z21">
        <f>Catch!D24</f>
        <v>0</v>
      </c>
      <c r="AA21">
        <f>Catch!E24</f>
        <v>0</v>
      </c>
      <c r="AB21">
        <f>Catch!F24</f>
        <v>0</v>
      </c>
      <c r="AC21">
        <f>Catch!G24</f>
        <v>0</v>
      </c>
      <c r="AD21">
        <f>'Overhand throw'!B24</f>
        <v>0</v>
      </c>
      <c r="AE21">
        <f>'Overhand throw'!C24</f>
        <v>0</v>
      </c>
      <c r="AF21">
        <f>'Overhand throw'!D24</f>
        <v>0</v>
      </c>
      <c r="AG21">
        <f>'Overhand throw'!E24</f>
        <v>0</v>
      </c>
      <c r="AH21">
        <f>'Overhand throw'!F24</f>
        <v>0</v>
      </c>
      <c r="AI21">
        <f>'Overhand throw'!G24</f>
        <v>0</v>
      </c>
      <c r="AJ21">
        <f>Kick!B24</f>
        <v>0</v>
      </c>
      <c r="AK21">
        <f>Kick!C24</f>
        <v>0</v>
      </c>
      <c r="AL21">
        <f>Kick!D24</f>
        <v>0</v>
      </c>
      <c r="AM21">
        <f>Kick!E24</f>
        <v>0</v>
      </c>
      <c r="AN21">
        <f>Kick!F24</f>
        <v>0</v>
      </c>
      <c r="AO21">
        <f>Kick!G24</f>
        <v>0</v>
      </c>
      <c r="AP21">
        <f>Kick!H24</f>
        <v>1</v>
      </c>
      <c r="AQ21">
        <f>Punt!B24</f>
        <v>0</v>
      </c>
      <c r="AR21">
        <f>Punt!C24</f>
        <v>0</v>
      </c>
      <c r="AS21">
        <f>Punt!D24</f>
        <v>0</v>
      </c>
      <c r="AT21">
        <f>Punt!E24</f>
        <v>0</v>
      </c>
      <c r="AU21">
        <f>Punt!F24</f>
        <v>0</v>
      </c>
      <c r="AV21">
        <f>Punt!G24</f>
        <v>0</v>
      </c>
      <c r="AW21">
        <f>Punt!H24</f>
        <v>0</v>
      </c>
      <c r="AX21">
        <f>Punt!I24</f>
        <v>0</v>
      </c>
      <c r="AY21">
        <f>Bounce!B24</f>
        <v>1</v>
      </c>
      <c r="AZ21">
        <f>Bounce!C24</f>
        <v>1</v>
      </c>
      <c r="BA21">
        <f>Bounce!D24</f>
        <v>1</v>
      </c>
      <c r="BB21">
        <f>Bounce!E24</f>
        <v>1</v>
      </c>
      <c r="BC21">
        <f>Bounce!F24</f>
        <v>0</v>
      </c>
      <c r="BD21">
        <f>'Two-handed strike'!B24</f>
        <v>0</v>
      </c>
      <c r="BE21">
        <f>'Two-handed strike'!C24</f>
        <v>0</v>
      </c>
      <c r="BF21">
        <f>'Two-handed strike'!D24</f>
        <v>0</v>
      </c>
      <c r="BG21">
        <f>'Two-handed strike'!E24</f>
        <v>0</v>
      </c>
      <c r="BH21">
        <f>'Two-handed strike'!F24</f>
        <v>0</v>
      </c>
      <c r="BI21">
        <f>'Two-handed strike'!G24</f>
        <v>0</v>
      </c>
      <c r="BJ21">
        <f>'Two-handed strike'!H24</f>
        <v>0</v>
      </c>
      <c r="BK21">
        <f>'Two-handed strike'!I24</f>
        <v>0</v>
      </c>
      <c r="BL21">
        <f>'Forehand strike'!B24</f>
        <v>0</v>
      </c>
      <c r="BM21">
        <f>'Forehand strike'!C24</f>
        <v>0</v>
      </c>
      <c r="BN21">
        <f>'Forehand strike'!D24</f>
        <v>0</v>
      </c>
      <c r="BO21">
        <f>'Forehand strike'!E24</f>
        <v>0</v>
      </c>
      <c r="BP21">
        <f>'Forehand strike'!F24</f>
        <v>0</v>
      </c>
      <c r="BQ21">
        <f>'Forehand strike'!G24</f>
        <v>0</v>
      </c>
      <c r="BR21">
        <f>'Forehand strike'!H24</f>
        <v>0</v>
      </c>
      <c r="BS21">
        <f>Gymnastics!B24</f>
        <v>0</v>
      </c>
      <c r="BT21">
        <f>Gymnastics!C24</f>
        <v>0</v>
      </c>
      <c r="BU21">
        <f>Gymnastics!D24</f>
        <v>0</v>
      </c>
      <c r="BV21">
        <f>Gymnastics!E24</f>
        <v>1</v>
      </c>
      <c r="BW21">
        <f>IFERROR(
    INDEX('ASTS 2+3'!A:L, MATCH(A21, 'ASTS 2+3'!A:A, 0), 3),
    IFERROR(
        INDEX('ASTS 2+3'!J:L, MATCH(A21, 'ASTS 2+3'!J:J, 0), 3),
    "")
)</f>
        <v>33</v>
      </c>
      <c r="BX21">
        <f>'Rock to stand'!B24</f>
        <v>0</v>
      </c>
      <c r="BY21">
        <f>'Rock to stand'!C24</f>
        <v>0</v>
      </c>
      <c r="BZ21">
        <f>'Rock to stand'!D24</f>
        <v>0</v>
      </c>
      <c r="CA21">
        <f>'Rock to stand'!E24</f>
        <v>0</v>
      </c>
      <c r="CB21">
        <f>'Rock to stand'!F24</f>
        <v>0</v>
      </c>
      <c r="CC21">
        <f>'Rock to stand'!G24</f>
        <v>0</v>
      </c>
      <c r="CD21">
        <f>'Rock to stand'!H24</f>
        <v>0</v>
      </c>
      <c r="CE21">
        <f>'Rock to stand'!I24</f>
        <v>0</v>
      </c>
    </row>
    <row r="22" spans="1:83" x14ac:dyDescent="0.25">
      <c r="A22" t="str">
        <f>'Class List'!A25</f>
        <v>Student</v>
      </c>
      <c r="B22" t="str">
        <f>'Class List'!B25</f>
        <v>m</v>
      </c>
      <c r="C22">
        <f>'Class List'!C25</f>
        <v>10</v>
      </c>
      <c r="D22">
        <f>'Run'!B25</f>
        <v>0</v>
      </c>
      <c r="E22">
        <f>'Run'!C25</f>
        <v>0</v>
      </c>
      <c r="F22">
        <f>'Run'!D25</f>
        <v>0</v>
      </c>
      <c r="G22">
        <f>'Run'!E25</f>
        <v>0</v>
      </c>
      <c r="H22">
        <f>'Run'!F25</f>
        <v>0</v>
      </c>
      <c r="I22">
        <f>'Vertical Jump'!B25</f>
        <v>0</v>
      </c>
      <c r="J22">
        <f>'Vertical Jump'!C25</f>
        <v>0</v>
      </c>
      <c r="K22">
        <f>'Vertical Jump'!D25</f>
        <v>0</v>
      </c>
      <c r="L22">
        <f>'Vertical Jump'!E25</f>
        <v>0</v>
      </c>
      <c r="M22">
        <f>'Vertical Jump'!F25</f>
        <v>0</v>
      </c>
      <c r="N22">
        <f>Leap!B25</f>
        <v>0</v>
      </c>
      <c r="O22">
        <f>Leap!C25</f>
        <v>0</v>
      </c>
      <c r="P22">
        <f>Leap!D25</f>
        <v>0</v>
      </c>
      <c r="Q22">
        <f>Leap!E25</f>
        <v>0</v>
      </c>
      <c r="R22">
        <f>Leap!F25</f>
        <v>0</v>
      </c>
      <c r="S22">
        <f>Dodge!B25</f>
        <v>0</v>
      </c>
      <c r="T22">
        <f>Dodge!C25</f>
        <v>0</v>
      </c>
      <c r="U22">
        <f>Dodge!D25</f>
        <v>0</v>
      </c>
      <c r="V22">
        <f>Dodge!E25</f>
        <v>0</v>
      </c>
      <c r="W22">
        <f>Dodge!F25</f>
        <v>0</v>
      </c>
      <c r="X22">
        <f>Catch!B25</f>
        <v>0</v>
      </c>
      <c r="Y22">
        <f>Catch!C25</f>
        <v>0</v>
      </c>
      <c r="Z22">
        <f>Catch!D25</f>
        <v>0</v>
      </c>
      <c r="AA22">
        <f>Catch!E25</f>
        <v>0</v>
      </c>
      <c r="AB22">
        <f>Catch!F25</f>
        <v>0</v>
      </c>
      <c r="AC22">
        <f>Catch!G25</f>
        <v>0</v>
      </c>
      <c r="AD22">
        <f>'Overhand throw'!B25</f>
        <v>0</v>
      </c>
      <c r="AE22">
        <f>'Overhand throw'!C25</f>
        <v>0</v>
      </c>
      <c r="AF22">
        <f>'Overhand throw'!D25</f>
        <v>0</v>
      </c>
      <c r="AG22">
        <f>'Overhand throw'!E25</f>
        <v>0</v>
      </c>
      <c r="AH22">
        <f>'Overhand throw'!F25</f>
        <v>0</v>
      </c>
      <c r="AI22">
        <f>'Overhand throw'!G25</f>
        <v>0</v>
      </c>
      <c r="AJ22">
        <f>Kick!B25</f>
        <v>0</v>
      </c>
      <c r="AK22">
        <f>Kick!C25</f>
        <v>0</v>
      </c>
      <c r="AL22">
        <f>Kick!D25</f>
        <v>0</v>
      </c>
      <c r="AM22">
        <f>Kick!E25</f>
        <v>0</v>
      </c>
      <c r="AN22">
        <f>Kick!F25</f>
        <v>0</v>
      </c>
      <c r="AO22">
        <f>Kick!G25</f>
        <v>0</v>
      </c>
      <c r="AP22">
        <f>Kick!H25</f>
        <v>1</v>
      </c>
      <c r="AQ22">
        <f>Punt!B25</f>
        <v>0</v>
      </c>
      <c r="AR22">
        <f>Punt!C25</f>
        <v>0</v>
      </c>
      <c r="AS22">
        <f>Punt!D25</f>
        <v>0</v>
      </c>
      <c r="AT22">
        <f>Punt!E25</f>
        <v>0</v>
      </c>
      <c r="AU22">
        <f>Punt!F25</f>
        <v>0</v>
      </c>
      <c r="AV22">
        <f>Punt!G25</f>
        <v>0</v>
      </c>
      <c r="AW22">
        <f>Punt!H25</f>
        <v>0</v>
      </c>
      <c r="AX22">
        <f>Punt!I25</f>
        <v>0</v>
      </c>
      <c r="AY22">
        <f>Bounce!B25</f>
        <v>1</v>
      </c>
      <c r="AZ22">
        <f>Bounce!C25</f>
        <v>1</v>
      </c>
      <c r="BA22">
        <f>Bounce!D25</f>
        <v>1</v>
      </c>
      <c r="BB22">
        <f>Bounce!E25</f>
        <v>1</v>
      </c>
      <c r="BC22">
        <f>Bounce!F25</f>
        <v>0</v>
      </c>
      <c r="BD22">
        <f>'Two-handed strike'!B25</f>
        <v>0</v>
      </c>
      <c r="BE22">
        <f>'Two-handed strike'!C25</f>
        <v>0</v>
      </c>
      <c r="BF22">
        <f>'Two-handed strike'!D25</f>
        <v>0</v>
      </c>
      <c r="BG22">
        <f>'Two-handed strike'!E25</f>
        <v>0</v>
      </c>
      <c r="BH22">
        <f>'Two-handed strike'!F25</f>
        <v>0</v>
      </c>
      <c r="BI22">
        <f>'Two-handed strike'!G25</f>
        <v>0</v>
      </c>
      <c r="BJ22">
        <f>'Two-handed strike'!H25</f>
        <v>0</v>
      </c>
      <c r="BK22">
        <f>'Two-handed strike'!I25</f>
        <v>0</v>
      </c>
      <c r="BL22">
        <f>'Forehand strike'!B25</f>
        <v>0</v>
      </c>
      <c r="BM22">
        <f>'Forehand strike'!C25</f>
        <v>0</v>
      </c>
      <c r="BN22">
        <f>'Forehand strike'!D25</f>
        <v>0</v>
      </c>
      <c r="BO22">
        <f>'Forehand strike'!E25</f>
        <v>0</v>
      </c>
      <c r="BP22">
        <f>'Forehand strike'!F25</f>
        <v>0</v>
      </c>
      <c r="BQ22">
        <f>'Forehand strike'!G25</f>
        <v>0</v>
      </c>
      <c r="BR22">
        <f>'Forehand strike'!H25</f>
        <v>0</v>
      </c>
      <c r="BS22">
        <f>Gymnastics!B25</f>
        <v>3</v>
      </c>
      <c r="BT22">
        <f>Gymnastics!C25</f>
        <v>3</v>
      </c>
      <c r="BU22">
        <f>Gymnastics!D25</f>
        <v>3</v>
      </c>
      <c r="BV22">
        <f>Gymnastics!E25</f>
        <v>1</v>
      </c>
      <c r="BW22">
        <f>IFERROR(
    INDEX('ASTS 2+3'!A:L, MATCH(A22, 'ASTS 2+3'!A:A, 0), 3),
    IFERROR(
        INDEX('ASTS 2+3'!J:L, MATCH(A22, 'ASTS 2+3'!J:J, 0), 3),
    "")
)</f>
        <v>33</v>
      </c>
      <c r="BX22">
        <f>'Rock to stand'!B25</f>
        <v>0</v>
      </c>
      <c r="BY22">
        <f>'Rock to stand'!C25</f>
        <v>0</v>
      </c>
      <c r="BZ22">
        <f>'Rock to stand'!D25</f>
        <v>0</v>
      </c>
      <c r="CA22">
        <f>'Rock to stand'!E25</f>
        <v>0</v>
      </c>
      <c r="CB22">
        <f>'Rock to stand'!F25</f>
        <v>0</v>
      </c>
      <c r="CC22">
        <f>'Rock to stand'!G25</f>
        <v>0</v>
      </c>
      <c r="CD22">
        <f>'Rock to stand'!H25</f>
        <v>0</v>
      </c>
      <c r="CE22">
        <f>'Rock to stand'!I25</f>
        <v>0</v>
      </c>
    </row>
    <row r="23" spans="1:83" x14ac:dyDescent="0.25">
      <c r="A23" t="str">
        <f>'Class List'!A26</f>
        <v>Student</v>
      </c>
      <c r="B23" t="str">
        <f>'Class List'!B26</f>
        <v>f</v>
      </c>
      <c r="C23">
        <f>'Class List'!C26</f>
        <v>10</v>
      </c>
      <c r="D23">
        <f>'Run'!B26</f>
        <v>0</v>
      </c>
      <c r="E23">
        <f>'Run'!C26</f>
        <v>0</v>
      </c>
      <c r="F23">
        <f>'Run'!D26</f>
        <v>0</v>
      </c>
      <c r="G23">
        <f>'Run'!E26</f>
        <v>0</v>
      </c>
      <c r="H23">
        <f>'Run'!F26</f>
        <v>0</v>
      </c>
      <c r="I23">
        <f>'Vertical Jump'!B26</f>
        <v>0</v>
      </c>
      <c r="J23">
        <f>'Vertical Jump'!C26</f>
        <v>0</v>
      </c>
      <c r="K23">
        <f>'Vertical Jump'!D26</f>
        <v>0</v>
      </c>
      <c r="L23">
        <f>'Vertical Jump'!E26</f>
        <v>0</v>
      </c>
      <c r="M23">
        <f>'Vertical Jump'!F26</f>
        <v>0</v>
      </c>
      <c r="N23">
        <f>Leap!B26</f>
        <v>0</v>
      </c>
      <c r="O23">
        <f>Leap!C26</f>
        <v>0</v>
      </c>
      <c r="P23">
        <f>Leap!D26</f>
        <v>0</v>
      </c>
      <c r="Q23">
        <f>Leap!E26</f>
        <v>0</v>
      </c>
      <c r="R23">
        <f>Leap!F26</f>
        <v>0</v>
      </c>
      <c r="S23">
        <f>Dodge!B26</f>
        <v>0</v>
      </c>
      <c r="T23">
        <f>Dodge!C26</f>
        <v>0</v>
      </c>
      <c r="U23">
        <f>Dodge!D26</f>
        <v>0</v>
      </c>
      <c r="V23">
        <f>Dodge!E26</f>
        <v>0</v>
      </c>
      <c r="W23">
        <f>Dodge!F26</f>
        <v>0</v>
      </c>
      <c r="X23">
        <f>Catch!B26</f>
        <v>0</v>
      </c>
      <c r="Y23">
        <f>Catch!C26</f>
        <v>0</v>
      </c>
      <c r="Z23">
        <f>Catch!D26</f>
        <v>0</v>
      </c>
      <c r="AA23">
        <f>Catch!E26</f>
        <v>0</v>
      </c>
      <c r="AB23">
        <f>Catch!F26</f>
        <v>0</v>
      </c>
      <c r="AC23">
        <f>Catch!G26</f>
        <v>0</v>
      </c>
      <c r="AD23">
        <f>'Overhand throw'!B26</f>
        <v>0</v>
      </c>
      <c r="AE23">
        <f>'Overhand throw'!C26</f>
        <v>0</v>
      </c>
      <c r="AF23">
        <f>'Overhand throw'!D26</f>
        <v>0</v>
      </c>
      <c r="AG23">
        <f>'Overhand throw'!E26</f>
        <v>0</v>
      </c>
      <c r="AH23">
        <f>'Overhand throw'!F26</f>
        <v>0</v>
      </c>
      <c r="AI23">
        <f>'Overhand throw'!G26</f>
        <v>0</v>
      </c>
      <c r="AJ23">
        <f>Kick!B26</f>
        <v>0</v>
      </c>
      <c r="AK23">
        <f>Kick!C26</f>
        <v>0</v>
      </c>
      <c r="AL23">
        <f>Kick!D26</f>
        <v>0</v>
      </c>
      <c r="AM23">
        <f>Kick!E26</f>
        <v>0</v>
      </c>
      <c r="AN23">
        <f>Kick!F26</f>
        <v>0</v>
      </c>
      <c r="AO23">
        <f>Kick!G26</f>
        <v>0</v>
      </c>
      <c r="AP23">
        <f>Kick!H26</f>
        <v>1</v>
      </c>
      <c r="AQ23">
        <f>Punt!B26</f>
        <v>0</v>
      </c>
      <c r="AR23">
        <f>Punt!C26</f>
        <v>0</v>
      </c>
      <c r="AS23">
        <f>Punt!D26</f>
        <v>0</v>
      </c>
      <c r="AT23">
        <f>Punt!E26</f>
        <v>0</v>
      </c>
      <c r="AU23">
        <f>Punt!F26</f>
        <v>0</v>
      </c>
      <c r="AV23">
        <f>Punt!G26</f>
        <v>0</v>
      </c>
      <c r="AW23">
        <f>Punt!H26</f>
        <v>0</v>
      </c>
      <c r="AX23">
        <f>Punt!I26</f>
        <v>0</v>
      </c>
      <c r="AY23">
        <f>Bounce!B26</f>
        <v>1</v>
      </c>
      <c r="AZ23">
        <f>Bounce!C26</f>
        <v>1</v>
      </c>
      <c r="BA23">
        <f>Bounce!D26</f>
        <v>1</v>
      </c>
      <c r="BB23">
        <f>Bounce!E26</f>
        <v>1</v>
      </c>
      <c r="BC23">
        <f>Bounce!F26</f>
        <v>0</v>
      </c>
      <c r="BD23">
        <f>'Two-handed strike'!B26</f>
        <v>0</v>
      </c>
      <c r="BE23">
        <f>'Two-handed strike'!C26</f>
        <v>0</v>
      </c>
      <c r="BF23">
        <f>'Two-handed strike'!D26</f>
        <v>0</v>
      </c>
      <c r="BG23">
        <f>'Two-handed strike'!E26</f>
        <v>0</v>
      </c>
      <c r="BH23">
        <f>'Two-handed strike'!F26</f>
        <v>0</v>
      </c>
      <c r="BI23">
        <f>'Two-handed strike'!G26</f>
        <v>0</v>
      </c>
      <c r="BJ23">
        <f>'Two-handed strike'!H26</f>
        <v>0</v>
      </c>
      <c r="BK23">
        <f>'Two-handed strike'!I26</f>
        <v>0</v>
      </c>
      <c r="BL23">
        <f>'Forehand strike'!B26</f>
        <v>0</v>
      </c>
      <c r="BM23">
        <f>'Forehand strike'!C26</f>
        <v>0</v>
      </c>
      <c r="BN23">
        <f>'Forehand strike'!D26</f>
        <v>0</v>
      </c>
      <c r="BO23">
        <f>'Forehand strike'!E26</f>
        <v>0</v>
      </c>
      <c r="BP23">
        <f>'Forehand strike'!F26</f>
        <v>0</v>
      </c>
      <c r="BQ23">
        <f>'Forehand strike'!G26</f>
        <v>0</v>
      </c>
      <c r="BR23">
        <f>'Forehand strike'!H26</f>
        <v>0</v>
      </c>
      <c r="BS23">
        <f>Gymnastics!B26</f>
        <v>4</v>
      </c>
      <c r="BT23">
        <f>Gymnastics!C26</f>
        <v>4</v>
      </c>
      <c r="BU23">
        <f>Gymnastics!D26</f>
        <v>3</v>
      </c>
      <c r="BV23">
        <f>Gymnastics!E26</f>
        <v>1</v>
      </c>
      <c r="BW23">
        <f>IFERROR(
    INDEX('ASTS 2+3'!A:L, MATCH(A23, 'ASTS 2+3'!A:A, 0), 3),
    IFERROR(
        INDEX('ASTS 2+3'!J:L, MATCH(A23, 'ASTS 2+3'!J:J, 0), 3),
    "")
)</f>
        <v>33</v>
      </c>
      <c r="BX23">
        <f>'Rock to stand'!B26</f>
        <v>0</v>
      </c>
      <c r="BY23">
        <f>'Rock to stand'!C26</f>
        <v>0</v>
      </c>
      <c r="BZ23">
        <f>'Rock to stand'!D26</f>
        <v>0</v>
      </c>
      <c r="CA23">
        <f>'Rock to stand'!E26</f>
        <v>0</v>
      </c>
      <c r="CB23">
        <f>'Rock to stand'!F26</f>
        <v>0</v>
      </c>
      <c r="CC23">
        <f>'Rock to stand'!G26</f>
        <v>0</v>
      </c>
      <c r="CD23">
        <f>'Rock to stand'!H26</f>
        <v>0</v>
      </c>
      <c r="CE23">
        <f>'Rock to stand'!I26</f>
        <v>0</v>
      </c>
    </row>
    <row r="24" spans="1:83" x14ac:dyDescent="0.25">
      <c r="A24" t="str">
        <f>'Class List'!A27</f>
        <v>Student</v>
      </c>
      <c r="B24" t="str">
        <f>'Class List'!B27</f>
        <v>m</v>
      </c>
      <c r="C24">
        <f>'Class List'!C27</f>
        <v>9</v>
      </c>
      <c r="D24">
        <f>'Run'!B27</f>
        <v>0</v>
      </c>
      <c r="E24">
        <f>'Run'!C27</f>
        <v>0</v>
      </c>
      <c r="F24">
        <f>'Run'!D27</f>
        <v>0</v>
      </c>
      <c r="G24">
        <f>'Run'!E27</f>
        <v>0</v>
      </c>
      <c r="H24">
        <f>'Run'!F27</f>
        <v>0</v>
      </c>
      <c r="I24">
        <f>'Vertical Jump'!B27</f>
        <v>0</v>
      </c>
      <c r="J24">
        <f>'Vertical Jump'!C27</f>
        <v>0</v>
      </c>
      <c r="K24">
        <f>'Vertical Jump'!D27</f>
        <v>0</v>
      </c>
      <c r="L24">
        <f>'Vertical Jump'!E27</f>
        <v>0</v>
      </c>
      <c r="M24">
        <f>'Vertical Jump'!F27</f>
        <v>0</v>
      </c>
      <c r="N24">
        <f>Leap!B27</f>
        <v>0</v>
      </c>
      <c r="O24">
        <f>Leap!C27</f>
        <v>0</v>
      </c>
      <c r="P24">
        <f>Leap!D27</f>
        <v>0</v>
      </c>
      <c r="Q24">
        <f>Leap!E27</f>
        <v>0</v>
      </c>
      <c r="R24">
        <f>Leap!F27</f>
        <v>0</v>
      </c>
      <c r="S24">
        <f>Dodge!B27</f>
        <v>0</v>
      </c>
      <c r="T24">
        <f>Dodge!C27</f>
        <v>0</v>
      </c>
      <c r="U24">
        <f>Dodge!D27</f>
        <v>0</v>
      </c>
      <c r="V24">
        <f>Dodge!E27</f>
        <v>0</v>
      </c>
      <c r="W24">
        <f>Dodge!F27</f>
        <v>0</v>
      </c>
      <c r="X24">
        <f>Catch!B27</f>
        <v>0</v>
      </c>
      <c r="Y24">
        <f>Catch!C27</f>
        <v>0</v>
      </c>
      <c r="Z24">
        <f>Catch!D27</f>
        <v>0</v>
      </c>
      <c r="AA24">
        <f>Catch!E27</f>
        <v>0</v>
      </c>
      <c r="AB24">
        <f>Catch!F27</f>
        <v>0</v>
      </c>
      <c r="AC24">
        <f>Catch!G27</f>
        <v>0</v>
      </c>
      <c r="AD24">
        <f>'Overhand throw'!B27</f>
        <v>0</v>
      </c>
      <c r="AE24">
        <f>'Overhand throw'!C27</f>
        <v>0</v>
      </c>
      <c r="AF24">
        <f>'Overhand throw'!D27</f>
        <v>0</v>
      </c>
      <c r="AG24">
        <f>'Overhand throw'!E27</f>
        <v>0</v>
      </c>
      <c r="AH24">
        <f>'Overhand throw'!F27</f>
        <v>0</v>
      </c>
      <c r="AI24">
        <f>'Overhand throw'!G27</f>
        <v>0</v>
      </c>
      <c r="AJ24">
        <f>Kick!B27</f>
        <v>0</v>
      </c>
      <c r="AK24">
        <f>Kick!C27</f>
        <v>0</v>
      </c>
      <c r="AL24">
        <f>Kick!D27</f>
        <v>0</v>
      </c>
      <c r="AM24">
        <f>Kick!E27</f>
        <v>0</v>
      </c>
      <c r="AN24">
        <f>Kick!F27</f>
        <v>0</v>
      </c>
      <c r="AO24">
        <f>Kick!G27</f>
        <v>0</v>
      </c>
      <c r="AP24">
        <f>Kick!H27</f>
        <v>1</v>
      </c>
      <c r="AQ24">
        <f>Punt!B27</f>
        <v>0</v>
      </c>
      <c r="AR24">
        <f>Punt!C27</f>
        <v>0</v>
      </c>
      <c r="AS24">
        <f>Punt!D27</f>
        <v>0</v>
      </c>
      <c r="AT24">
        <f>Punt!E27</f>
        <v>0</v>
      </c>
      <c r="AU24">
        <f>Punt!F27</f>
        <v>0</v>
      </c>
      <c r="AV24">
        <f>Punt!G27</f>
        <v>0</v>
      </c>
      <c r="AW24">
        <f>Punt!H27</f>
        <v>0</v>
      </c>
      <c r="AX24">
        <f>Punt!I27</f>
        <v>0</v>
      </c>
      <c r="AY24">
        <f>Bounce!B27</f>
        <v>1</v>
      </c>
      <c r="AZ24">
        <f>Bounce!C27</f>
        <v>1</v>
      </c>
      <c r="BA24">
        <f>Bounce!D27</f>
        <v>1</v>
      </c>
      <c r="BB24">
        <f>Bounce!E27</f>
        <v>1</v>
      </c>
      <c r="BC24">
        <f>Bounce!F27</f>
        <v>0</v>
      </c>
      <c r="BD24">
        <f>'Two-handed strike'!B27</f>
        <v>0</v>
      </c>
      <c r="BE24">
        <f>'Two-handed strike'!C27</f>
        <v>0</v>
      </c>
      <c r="BF24">
        <f>'Two-handed strike'!D27</f>
        <v>0</v>
      </c>
      <c r="BG24">
        <f>'Two-handed strike'!E27</f>
        <v>0</v>
      </c>
      <c r="BH24">
        <f>'Two-handed strike'!F27</f>
        <v>0</v>
      </c>
      <c r="BI24">
        <f>'Two-handed strike'!G27</f>
        <v>0</v>
      </c>
      <c r="BJ24">
        <f>'Two-handed strike'!H27</f>
        <v>0</v>
      </c>
      <c r="BK24">
        <f>'Two-handed strike'!I27</f>
        <v>0</v>
      </c>
      <c r="BL24">
        <f>'Forehand strike'!B27</f>
        <v>0</v>
      </c>
      <c r="BM24">
        <f>'Forehand strike'!C27</f>
        <v>0</v>
      </c>
      <c r="BN24">
        <f>'Forehand strike'!D27</f>
        <v>0</v>
      </c>
      <c r="BO24">
        <f>'Forehand strike'!E27</f>
        <v>0</v>
      </c>
      <c r="BP24">
        <f>'Forehand strike'!F27</f>
        <v>0</v>
      </c>
      <c r="BQ24">
        <f>'Forehand strike'!G27</f>
        <v>0</v>
      </c>
      <c r="BR24">
        <f>'Forehand strike'!H27</f>
        <v>0</v>
      </c>
      <c r="BS24">
        <f>Gymnastics!B27</f>
        <v>3</v>
      </c>
      <c r="BT24">
        <f>Gymnastics!C27</f>
        <v>4</v>
      </c>
      <c r="BU24">
        <f>Gymnastics!D27</f>
        <v>4</v>
      </c>
      <c r="BV24">
        <f>Gymnastics!E27</f>
        <v>1</v>
      </c>
      <c r="BW24">
        <f>IFERROR(
    INDEX('ASTS 2+3'!A:L, MATCH(A24, 'ASTS 2+3'!A:A, 0), 3),
    IFERROR(
        INDEX('ASTS 2+3'!J:L, MATCH(A24, 'ASTS 2+3'!J:J, 0), 3),
    "")
)</f>
        <v>33</v>
      </c>
      <c r="BX24">
        <f>'Rock to stand'!B27</f>
        <v>0</v>
      </c>
      <c r="BY24">
        <f>'Rock to stand'!C27</f>
        <v>0</v>
      </c>
      <c r="BZ24">
        <f>'Rock to stand'!D27</f>
        <v>0</v>
      </c>
      <c r="CA24">
        <f>'Rock to stand'!E27</f>
        <v>0</v>
      </c>
      <c r="CB24">
        <f>'Rock to stand'!F27</f>
        <v>0</v>
      </c>
      <c r="CC24">
        <f>'Rock to stand'!G27</f>
        <v>0</v>
      </c>
      <c r="CD24">
        <f>'Rock to stand'!H27</f>
        <v>0</v>
      </c>
      <c r="CE24">
        <f>'Rock to stand'!I27</f>
        <v>0</v>
      </c>
    </row>
    <row r="25" spans="1:83" x14ac:dyDescent="0.25">
      <c r="A25" t="str">
        <f>'Class List'!A28</f>
        <v>Student</v>
      </c>
      <c r="B25" t="str">
        <f>'Class List'!B28</f>
        <v>m</v>
      </c>
      <c r="C25">
        <f>'Class List'!C28</f>
        <v>9</v>
      </c>
      <c r="D25">
        <f>'Run'!B28</f>
        <v>0</v>
      </c>
      <c r="E25">
        <f>'Run'!C28</f>
        <v>0</v>
      </c>
      <c r="F25">
        <f>'Run'!D28</f>
        <v>0</v>
      </c>
      <c r="G25">
        <f>'Run'!E28</f>
        <v>0</v>
      </c>
      <c r="H25">
        <f>'Run'!F28</f>
        <v>0</v>
      </c>
      <c r="I25">
        <f>'Vertical Jump'!B28</f>
        <v>0</v>
      </c>
      <c r="J25">
        <f>'Vertical Jump'!C28</f>
        <v>0</v>
      </c>
      <c r="K25">
        <f>'Vertical Jump'!D28</f>
        <v>0</v>
      </c>
      <c r="L25">
        <f>'Vertical Jump'!E28</f>
        <v>0</v>
      </c>
      <c r="M25">
        <f>'Vertical Jump'!F28</f>
        <v>0</v>
      </c>
      <c r="N25">
        <f>Leap!B28</f>
        <v>0</v>
      </c>
      <c r="O25">
        <f>Leap!C28</f>
        <v>0</v>
      </c>
      <c r="P25">
        <f>Leap!D28</f>
        <v>0</v>
      </c>
      <c r="Q25">
        <f>Leap!E28</f>
        <v>0</v>
      </c>
      <c r="R25">
        <f>Leap!F28</f>
        <v>0</v>
      </c>
      <c r="S25">
        <f>Dodge!B28</f>
        <v>0</v>
      </c>
      <c r="T25">
        <f>Dodge!C28</f>
        <v>0</v>
      </c>
      <c r="U25">
        <f>Dodge!D28</f>
        <v>0</v>
      </c>
      <c r="V25">
        <f>Dodge!E28</f>
        <v>0</v>
      </c>
      <c r="W25">
        <f>Dodge!F28</f>
        <v>0</v>
      </c>
      <c r="X25">
        <f>Catch!B28</f>
        <v>0</v>
      </c>
      <c r="Y25">
        <f>Catch!C28</f>
        <v>0</v>
      </c>
      <c r="Z25">
        <f>Catch!D28</f>
        <v>0</v>
      </c>
      <c r="AA25">
        <f>Catch!E28</f>
        <v>0</v>
      </c>
      <c r="AB25">
        <f>Catch!F28</f>
        <v>0</v>
      </c>
      <c r="AC25">
        <f>Catch!G28</f>
        <v>0</v>
      </c>
      <c r="AD25">
        <f>'Overhand throw'!B28</f>
        <v>0</v>
      </c>
      <c r="AE25">
        <f>'Overhand throw'!C28</f>
        <v>0</v>
      </c>
      <c r="AF25">
        <f>'Overhand throw'!D28</f>
        <v>0</v>
      </c>
      <c r="AG25">
        <f>'Overhand throw'!E28</f>
        <v>0</v>
      </c>
      <c r="AH25">
        <f>'Overhand throw'!F28</f>
        <v>0</v>
      </c>
      <c r="AI25">
        <f>'Overhand throw'!G28</f>
        <v>0</v>
      </c>
      <c r="AJ25">
        <f>Kick!B28</f>
        <v>0</v>
      </c>
      <c r="AK25">
        <f>Kick!C28</f>
        <v>0</v>
      </c>
      <c r="AL25">
        <f>Kick!D28</f>
        <v>0</v>
      </c>
      <c r="AM25">
        <f>Kick!E28</f>
        <v>0</v>
      </c>
      <c r="AN25">
        <f>Kick!F28</f>
        <v>0</v>
      </c>
      <c r="AO25">
        <f>Kick!G28</f>
        <v>0</v>
      </c>
      <c r="AP25">
        <f>Kick!H28</f>
        <v>1</v>
      </c>
      <c r="AQ25">
        <f>Punt!B28</f>
        <v>0</v>
      </c>
      <c r="AR25">
        <f>Punt!C28</f>
        <v>0</v>
      </c>
      <c r="AS25">
        <f>Punt!D28</f>
        <v>0</v>
      </c>
      <c r="AT25">
        <f>Punt!E28</f>
        <v>0</v>
      </c>
      <c r="AU25">
        <f>Punt!F28</f>
        <v>0</v>
      </c>
      <c r="AV25">
        <f>Punt!G28</f>
        <v>0</v>
      </c>
      <c r="AW25">
        <f>Punt!H28</f>
        <v>0</v>
      </c>
      <c r="AX25">
        <f>Punt!I28</f>
        <v>0</v>
      </c>
      <c r="AY25">
        <f>Bounce!B28</f>
        <v>0</v>
      </c>
      <c r="AZ25">
        <f>Bounce!C28</f>
        <v>0</v>
      </c>
      <c r="BA25">
        <f>Bounce!D28</f>
        <v>0</v>
      </c>
      <c r="BB25">
        <f>Bounce!E28</f>
        <v>0</v>
      </c>
      <c r="BC25">
        <f>Bounce!F28</f>
        <v>1</v>
      </c>
      <c r="BD25">
        <f>'Two-handed strike'!B28</f>
        <v>0</v>
      </c>
      <c r="BE25">
        <f>'Two-handed strike'!C28</f>
        <v>0</v>
      </c>
      <c r="BF25">
        <f>'Two-handed strike'!D28</f>
        <v>0</v>
      </c>
      <c r="BG25">
        <f>'Two-handed strike'!E28</f>
        <v>0</v>
      </c>
      <c r="BH25">
        <f>'Two-handed strike'!F28</f>
        <v>0</v>
      </c>
      <c r="BI25">
        <f>'Two-handed strike'!G28</f>
        <v>0</v>
      </c>
      <c r="BJ25">
        <f>'Two-handed strike'!H28</f>
        <v>0</v>
      </c>
      <c r="BK25">
        <f>'Two-handed strike'!I28</f>
        <v>0</v>
      </c>
      <c r="BL25">
        <f>'Forehand strike'!B28</f>
        <v>0</v>
      </c>
      <c r="BM25">
        <f>'Forehand strike'!C28</f>
        <v>0</v>
      </c>
      <c r="BN25">
        <f>'Forehand strike'!D28</f>
        <v>0</v>
      </c>
      <c r="BO25">
        <f>'Forehand strike'!E28</f>
        <v>0</v>
      </c>
      <c r="BP25">
        <f>'Forehand strike'!F28</f>
        <v>0</v>
      </c>
      <c r="BQ25">
        <f>'Forehand strike'!G28</f>
        <v>0</v>
      </c>
      <c r="BR25">
        <f>'Forehand strike'!H28</f>
        <v>0</v>
      </c>
      <c r="BS25">
        <f>Gymnastics!B28</f>
        <v>4</v>
      </c>
      <c r="BT25">
        <f>Gymnastics!C28</f>
        <v>4</v>
      </c>
      <c r="BU25">
        <f>Gymnastics!D28</f>
        <v>4</v>
      </c>
      <c r="BV25">
        <f>Gymnastics!E28</f>
        <v>1</v>
      </c>
      <c r="BW25">
        <f>IFERROR(
    INDEX('ASTS 2+3'!A:L, MATCH(A25, 'ASTS 2+3'!A:A, 0), 3),
    IFERROR(
        INDEX('ASTS 2+3'!J:L, MATCH(A25, 'ASTS 2+3'!J:J, 0), 3),
    "")
)</f>
        <v>33</v>
      </c>
      <c r="BX25">
        <f>'Rock to stand'!B28</f>
        <v>0</v>
      </c>
      <c r="BY25">
        <f>'Rock to stand'!C28</f>
        <v>0</v>
      </c>
      <c r="BZ25">
        <f>'Rock to stand'!D28</f>
        <v>0</v>
      </c>
      <c r="CA25">
        <f>'Rock to stand'!E28</f>
        <v>0</v>
      </c>
      <c r="CB25">
        <f>'Rock to stand'!F28</f>
        <v>0</v>
      </c>
      <c r="CC25">
        <f>'Rock to stand'!G28</f>
        <v>0</v>
      </c>
      <c r="CD25">
        <f>'Rock to stand'!H28</f>
        <v>0</v>
      </c>
      <c r="CE25">
        <f>'Rock to stand'!I28</f>
        <v>0</v>
      </c>
    </row>
    <row r="26" spans="1:83" x14ac:dyDescent="0.25">
      <c r="A26" t="str">
        <f>'Class List'!A29</f>
        <v>Student</v>
      </c>
      <c r="B26" t="str">
        <f>'Class List'!B29</f>
        <v>f</v>
      </c>
      <c r="C26">
        <f>'Class List'!C29</f>
        <v>9</v>
      </c>
      <c r="D26">
        <f>'Run'!B29</f>
        <v>0</v>
      </c>
      <c r="E26">
        <f>'Run'!C29</f>
        <v>0</v>
      </c>
      <c r="F26">
        <f>'Run'!D29</f>
        <v>0</v>
      </c>
      <c r="G26">
        <f>'Run'!E29</f>
        <v>0</v>
      </c>
      <c r="H26">
        <f>'Run'!F29</f>
        <v>0</v>
      </c>
      <c r="I26">
        <f>'Vertical Jump'!B29</f>
        <v>0</v>
      </c>
      <c r="J26">
        <f>'Vertical Jump'!C29</f>
        <v>0</v>
      </c>
      <c r="K26">
        <f>'Vertical Jump'!D29</f>
        <v>0</v>
      </c>
      <c r="L26">
        <f>'Vertical Jump'!E29</f>
        <v>0</v>
      </c>
      <c r="M26">
        <f>'Vertical Jump'!F29</f>
        <v>0</v>
      </c>
      <c r="N26">
        <f>Leap!B29</f>
        <v>0</v>
      </c>
      <c r="O26">
        <f>Leap!C29</f>
        <v>0</v>
      </c>
      <c r="P26">
        <f>Leap!D29</f>
        <v>0</v>
      </c>
      <c r="Q26">
        <f>Leap!E29</f>
        <v>0</v>
      </c>
      <c r="R26">
        <f>Leap!F29</f>
        <v>0</v>
      </c>
      <c r="S26">
        <f>Dodge!B29</f>
        <v>0</v>
      </c>
      <c r="T26">
        <f>Dodge!C29</f>
        <v>0</v>
      </c>
      <c r="U26">
        <f>Dodge!D29</f>
        <v>0</v>
      </c>
      <c r="V26">
        <f>Dodge!E29</f>
        <v>0</v>
      </c>
      <c r="W26">
        <f>Dodge!F29</f>
        <v>0</v>
      </c>
      <c r="X26">
        <f>Catch!B29</f>
        <v>0</v>
      </c>
      <c r="Y26">
        <f>Catch!C29</f>
        <v>0</v>
      </c>
      <c r="Z26">
        <f>Catch!D29</f>
        <v>0</v>
      </c>
      <c r="AA26">
        <f>Catch!E29</f>
        <v>0</v>
      </c>
      <c r="AB26">
        <f>Catch!F29</f>
        <v>0</v>
      </c>
      <c r="AC26">
        <f>Catch!G29</f>
        <v>0</v>
      </c>
      <c r="AD26">
        <f>'Overhand throw'!B29</f>
        <v>0</v>
      </c>
      <c r="AE26">
        <f>'Overhand throw'!C29</f>
        <v>0</v>
      </c>
      <c r="AF26">
        <f>'Overhand throw'!D29</f>
        <v>0</v>
      </c>
      <c r="AG26">
        <f>'Overhand throw'!E29</f>
        <v>0</v>
      </c>
      <c r="AH26">
        <f>'Overhand throw'!F29</f>
        <v>0</v>
      </c>
      <c r="AI26">
        <f>'Overhand throw'!G29</f>
        <v>0</v>
      </c>
      <c r="AJ26">
        <f>Kick!B29</f>
        <v>0</v>
      </c>
      <c r="AK26">
        <f>Kick!C29</f>
        <v>0</v>
      </c>
      <c r="AL26">
        <f>Kick!D29</f>
        <v>0</v>
      </c>
      <c r="AM26">
        <f>Kick!E29</f>
        <v>0</v>
      </c>
      <c r="AN26">
        <f>Kick!F29</f>
        <v>0</v>
      </c>
      <c r="AO26">
        <f>Kick!G29</f>
        <v>0</v>
      </c>
      <c r="AP26">
        <f>Kick!H29</f>
        <v>1</v>
      </c>
      <c r="AQ26">
        <f>Punt!B29</f>
        <v>0</v>
      </c>
      <c r="AR26">
        <f>Punt!C29</f>
        <v>0</v>
      </c>
      <c r="AS26">
        <f>Punt!D29</f>
        <v>0</v>
      </c>
      <c r="AT26">
        <f>Punt!E29</f>
        <v>0</v>
      </c>
      <c r="AU26">
        <f>Punt!F29</f>
        <v>0</v>
      </c>
      <c r="AV26">
        <f>Punt!G29</f>
        <v>0</v>
      </c>
      <c r="AW26">
        <f>Punt!H29</f>
        <v>0</v>
      </c>
      <c r="AX26">
        <f>Punt!I29</f>
        <v>0</v>
      </c>
      <c r="AY26">
        <f>Bounce!B29</f>
        <v>0</v>
      </c>
      <c r="AZ26">
        <f>Bounce!C29</f>
        <v>0</v>
      </c>
      <c r="BA26">
        <f>Bounce!D29</f>
        <v>0</v>
      </c>
      <c r="BB26">
        <f>Bounce!E29</f>
        <v>0</v>
      </c>
      <c r="BC26">
        <f>Bounce!F29</f>
        <v>1</v>
      </c>
      <c r="BD26">
        <f>'Two-handed strike'!B29</f>
        <v>0</v>
      </c>
      <c r="BE26">
        <f>'Two-handed strike'!C29</f>
        <v>0</v>
      </c>
      <c r="BF26">
        <f>'Two-handed strike'!D29</f>
        <v>0</v>
      </c>
      <c r="BG26">
        <f>'Two-handed strike'!E29</f>
        <v>0</v>
      </c>
      <c r="BH26">
        <f>'Two-handed strike'!F29</f>
        <v>0</v>
      </c>
      <c r="BI26">
        <f>'Two-handed strike'!G29</f>
        <v>0</v>
      </c>
      <c r="BJ26">
        <f>'Two-handed strike'!H29</f>
        <v>0</v>
      </c>
      <c r="BK26">
        <f>'Two-handed strike'!I29</f>
        <v>0</v>
      </c>
      <c r="BL26">
        <f>'Forehand strike'!B29</f>
        <v>0</v>
      </c>
      <c r="BM26">
        <f>'Forehand strike'!C29</f>
        <v>0</v>
      </c>
      <c r="BN26">
        <f>'Forehand strike'!D29</f>
        <v>0</v>
      </c>
      <c r="BO26">
        <f>'Forehand strike'!E29</f>
        <v>0</v>
      </c>
      <c r="BP26">
        <f>'Forehand strike'!F29</f>
        <v>0</v>
      </c>
      <c r="BQ26">
        <f>'Forehand strike'!G29</f>
        <v>0</v>
      </c>
      <c r="BR26">
        <f>'Forehand strike'!H29</f>
        <v>0</v>
      </c>
      <c r="BS26">
        <f>Gymnastics!B29</f>
        <v>0</v>
      </c>
      <c r="BT26">
        <f>Gymnastics!C29</f>
        <v>0</v>
      </c>
      <c r="BU26">
        <f>Gymnastics!D29</f>
        <v>0</v>
      </c>
      <c r="BV26">
        <f>Gymnastics!E29</f>
        <v>1</v>
      </c>
      <c r="BW26">
        <f>IFERROR(
    INDEX('ASTS 2+3'!A:L, MATCH(A26, 'ASTS 2+3'!A:A, 0), 3),
    IFERROR(
        INDEX('ASTS 2+3'!J:L, MATCH(A26, 'ASTS 2+3'!J:J, 0), 3),
    "")
)</f>
        <v>33</v>
      </c>
      <c r="BX26">
        <f>'Rock to stand'!B29</f>
        <v>0</v>
      </c>
      <c r="BY26">
        <f>'Rock to stand'!C29</f>
        <v>0</v>
      </c>
      <c r="BZ26">
        <f>'Rock to stand'!D29</f>
        <v>0</v>
      </c>
      <c r="CA26">
        <f>'Rock to stand'!E29</f>
        <v>0</v>
      </c>
      <c r="CB26">
        <f>'Rock to stand'!F29</f>
        <v>0</v>
      </c>
      <c r="CC26">
        <f>'Rock to stand'!G29</f>
        <v>0</v>
      </c>
      <c r="CD26">
        <f>'Rock to stand'!H29</f>
        <v>0</v>
      </c>
      <c r="CE26">
        <f>'Rock to stand'!I29</f>
        <v>0</v>
      </c>
    </row>
    <row r="27" spans="1:83" x14ac:dyDescent="0.25">
      <c r="A27" t="str">
        <f>'Class List'!A30</f>
        <v>Student</v>
      </c>
      <c r="B27" t="str">
        <f>'Class List'!B30</f>
        <v>f</v>
      </c>
      <c r="C27">
        <f>'Class List'!C30</f>
        <v>9</v>
      </c>
      <c r="D27">
        <f>'Run'!B30</f>
        <v>0</v>
      </c>
      <c r="E27">
        <f>'Run'!C30</f>
        <v>0</v>
      </c>
      <c r="F27">
        <f>'Run'!D30</f>
        <v>0</v>
      </c>
      <c r="G27">
        <f>'Run'!E30</f>
        <v>0</v>
      </c>
      <c r="H27">
        <f>'Run'!F30</f>
        <v>0</v>
      </c>
      <c r="I27">
        <f>'Vertical Jump'!B30</f>
        <v>0</v>
      </c>
      <c r="J27">
        <f>'Vertical Jump'!C30</f>
        <v>0</v>
      </c>
      <c r="K27">
        <f>'Vertical Jump'!D30</f>
        <v>0</v>
      </c>
      <c r="L27">
        <f>'Vertical Jump'!E30</f>
        <v>0</v>
      </c>
      <c r="M27">
        <f>'Vertical Jump'!F30</f>
        <v>0</v>
      </c>
      <c r="N27">
        <f>Leap!B30</f>
        <v>0</v>
      </c>
      <c r="O27">
        <f>Leap!C30</f>
        <v>0</v>
      </c>
      <c r="P27">
        <f>Leap!D30</f>
        <v>0</v>
      </c>
      <c r="Q27">
        <f>Leap!E30</f>
        <v>0</v>
      </c>
      <c r="R27">
        <f>Leap!F30</f>
        <v>0</v>
      </c>
      <c r="S27">
        <f>Dodge!B30</f>
        <v>0</v>
      </c>
      <c r="T27">
        <f>Dodge!C30</f>
        <v>0</v>
      </c>
      <c r="U27">
        <f>Dodge!D30</f>
        <v>0</v>
      </c>
      <c r="V27">
        <f>Dodge!E30</f>
        <v>0</v>
      </c>
      <c r="W27">
        <f>Dodge!F30</f>
        <v>0</v>
      </c>
      <c r="X27">
        <f>Catch!B30</f>
        <v>0</v>
      </c>
      <c r="Y27">
        <f>Catch!C30</f>
        <v>0</v>
      </c>
      <c r="Z27">
        <f>Catch!D30</f>
        <v>0</v>
      </c>
      <c r="AA27">
        <f>Catch!E30</f>
        <v>0</v>
      </c>
      <c r="AB27">
        <f>Catch!F30</f>
        <v>0</v>
      </c>
      <c r="AC27">
        <f>Catch!G30</f>
        <v>0</v>
      </c>
      <c r="AD27">
        <f>'Overhand throw'!B30</f>
        <v>0</v>
      </c>
      <c r="AE27">
        <f>'Overhand throw'!C30</f>
        <v>0</v>
      </c>
      <c r="AF27">
        <f>'Overhand throw'!D30</f>
        <v>0</v>
      </c>
      <c r="AG27">
        <f>'Overhand throw'!E30</f>
        <v>0</v>
      </c>
      <c r="AH27">
        <f>'Overhand throw'!F30</f>
        <v>0</v>
      </c>
      <c r="AI27">
        <f>'Overhand throw'!G30</f>
        <v>0</v>
      </c>
      <c r="AJ27">
        <f>Kick!B30</f>
        <v>0</v>
      </c>
      <c r="AK27">
        <f>Kick!C30</f>
        <v>0</v>
      </c>
      <c r="AL27">
        <f>Kick!D30</f>
        <v>0</v>
      </c>
      <c r="AM27">
        <f>Kick!E30</f>
        <v>0</v>
      </c>
      <c r="AN27">
        <f>Kick!F30</f>
        <v>0</v>
      </c>
      <c r="AO27">
        <f>Kick!G30</f>
        <v>0</v>
      </c>
      <c r="AP27">
        <f>Kick!H30</f>
        <v>1</v>
      </c>
      <c r="AQ27">
        <f>Punt!B30</f>
        <v>0</v>
      </c>
      <c r="AR27">
        <f>Punt!C30</f>
        <v>0</v>
      </c>
      <c r="AS27">
        <f>Punt!D30</f>
        <v>0</v>
      </c>
      <c r="AT27">
        <f>Punt!E30</f>
        <v>0</v>
      </c>
      <c r="AU27">
        <f>Punt!F30</f>
        <v>0</v>
      </c>
      <c r="AV27">
        <f>Punt!G30</f>
        <v>0</v>
      </c>
      <c r="AW27">
        <f>Punt!H30</f>
        <v>0</v>
      </c>
      <c r="AX27">
        <f>Punt!I30</f>
        <v>0</v>
      </c>
      <c r="AY27">
        <f>Bounce!B30</f>
        <v>0</v>
      </c>
      <c r="AZ27">
        <f>Bounce!C30</f>
        <v>0</v>
      </c>
      <c r="BA27">
        <f>Bounce!D30</f>
        <v>0</v>
      </c>
      <c r="BB27">
        <f>Bounce!E30</f>
        <v>0</v>
      </c>
      <c r="BC27">
        <f>Bounce!F30</f>
        <v>1</v>
      </c>
      <c r="BD27">
        <f>'Two-handed strike'!B30</f>
        <v>0</v>
      </c>
      <c r="BE27">
        <f>'Two-handed strike'!C30</f>
        <v>0</v>
      </c>
      <c r="BF27">
        <f>'Two-handed strike'!D30</f>
        <v>0</v>
      </c>
      <c r="BG27">
        <f>'Two-handed strike'!E30</f>
        <v>0</v>
      </c>
      <c r="BH27">
        <f>'Two-handed strike'!F30</f>
        <v>0</v>
      </c>
      <c r="BI27">
        <f>'Two-handed strike'!G30</f>
        <v>0</v>
      </c>
      <c r="BJ27">
        <f>'Two-handed strike'!H30</f>
        <v>0</v>
      </c>
      <c r="BK27">
        <f>'Two-handed strike'!I30</f>
        <v>0</v>
      </c>
      <c r="BL27">
        <f>'Forehand strike'!B30</f>
        <v>0</v>
      </c>
      <c r="BM27">
        <f>'Forehand strike'!C30</f>
        <v>0</v>
      </c>
      <c r="BN27">
        <f>'Forehand strike'!D30</f>
        <v>0</v>
      </c>
      <c r="BO27">
        <f>'Forehand strike'!E30</f>
        <v>0</v>
      </c>
      <c r="BP27">
        <f>'Forehand strike'!F30</f>
        <v>0</v>
      </c>
      <c r="BQ27">
        <f>'Forehand strike'!G30</f>
        <v>0</v>
      </c>
      <c r="BR27">
        <f>'Forehand strike'!H30</f>
        <v>0</v>
      </c>
      <c r="BS27">
        <f>Gymnastics!B30</f>
        <v>3</v>
      </c>
      <c r="BT27">
        <f>Gymnastics!C30</f>
        <v>3</v>
      </c>
      <c r="BU27">
        <f>Gymnastics!D30</f>
        <v>2</v>
      </c>
      <c r="BV27">
        <f>Gymnastics!E30</f>
        <v>1</v>
      </c>
      <c r="BW27">
        <f>IFERROR(
    INDEX('ASTS 2+3'!A:L, MATCH(A27, 'ASTS 2+3'!A:A, 0), 3),
    IFERROR(
        INDEX('ASTS 2+3'!J:L, MATCH(A27, 'ASTS 2+3'!J:J, 0), 3),
    "")
)</f>
        <v>33</v>
      </c>
      <c r="BX27">
        <f>'Rock to stand'!B30</f>
        <v>0</v>
      </c>
      <c r="BY27">
        <f>'Rock to stand'!C30</f>
        <v>0</v>
      </c>
      <c r="BZ27">
        <f>'Rock to stand'!D30</f>
        <v>0</v>
      </c>
      <c r="CA27">
        <f>'Rock to stand'!E30</f>
        <v>0</v>
      </c>
      <c r="CB27">
        <f>'Rock to stand'!F30</f>
        <v>0</v>
      </c>
      <c r="CC27">
        <f>'Rock to stand'!G30</f>
        <v>0</v>
      </c>
      <c r="CD27">
        <f>'Rock to stand'!H30</f>
        <v>0</v>
      </c>
      <c r="CE27">
        <f>'Rock to stand'!I30</f>
        <v>0</v>
      </c>
    </row>
    <row r="28" spans="1:83" x14ac:dyDescent="0.25">
      <c r="A28">
        <f>'Class List'!A31</f>
        <v>0</v>
      </c>
      <c r="B28">
        <f>'Class List'!B31</f>
        <v>0</v>
      </c>
      <c r="C28">
        <f>'Class List'!C31</f>
        <v>0</v>
      </c>
      <c r="D28">
        <f>'Run'!B31</f>
        <v>0</v>
      </c>
      <c r="E28">
        <f>'Run'!C31</f>
        <v>0</v>
      </c>
      <c r="F28">
        <f>'Run'!D31</f>
        <v>0</v>
      </c>
      <c r="G28">
        <f>'Run'!E31</f>
        <v>0</v>
      </c>
      <c r="H28">
        <f>'Run'!F31</f>
        <v>0</v>
      </c>
      <c r="I28">
        <f>'Vertical Jump'!B31</f>
        <v>0</v>
      </c>
      <c r="J28">
        <f>'Vertical Jump'!C31</f>
        <v>0</v>
      </c>
      <c r="K28">
        <f>'Vertical Jump'!D31</f>
        <v>0</v>
      </c>
      <c r="L28">
        <f>'Vertical Jump'!E31</f>
        <v>0</v>
      </c>
      <c r="M28">
        <f>'Vertical Jump'!F31</f>
        <v>0</v>
      </c>
      <c r="N28">
        <f>Leap!B31</f>
        <v>0</v>
      </c>
      <c r="O28">
        <f>Leap!C31</f>
        <v>0</v>
      </c>
      <c r="P28">
        <f>Leap!D31</f>
        <v>0</v>
      </c>
      <c r="Q28">
        <f>Leap!E31</f>
        <v>0</v>
      </c>
      <c r="R28">
        <f>Leap!F31</f>
        <v>0</v>
      </c>
      <c r="S28">
        <f>Dodge!B31</f>
        <v>0</v>
      </c>
      <c r="T28">
        <f>Dodge!C31</f>
        <v>0</v>
      </c>
      <c r="U28">
        <f>Dodge!D31</f>
        <v>0</v>
      </c>
      <c r="V28">
        <f>Dodge!E31</f>
        <v>0</v>
      </c>
      <c r="W28">
        <f>Dodge!F31</f>
        <v>0</v>
      </c>
      <c r="X28">
        <f>Catch!B31</f>
        <v>0</v>
      </c>
      <c r="Y28">
        <f>Catch!C31</f>
        <v>0</v>
      </c>
      <c r="Z28">
        <f>Catch!D31</f>
        <v>0</v>
      </c>
      <c r="AA28">
        <f>Catch!E31</f>
        <v>0</v>
      </c>
      <c r="AB28">
        <f>Catch!F31</f>
        <v>0</v>
      </c>
      <c r="AC28">
        <f>Catch!G31</f>
        <v>0</v>
      </c>
      <c r="AD28">
        <f>'Overhand throw'!B31</f>
        <v>0</v>
      </c>
      <c r="AE28">
        <f>'Overhand throw'!C31</f>
        <v>0</v>
      </c>
      <c r="AF28">
        <f>'Overhand throw'!D31</f>
        <v>0</v>
      </c>
      <c r="AG28">
        <f>'Overhand throw'!E31</f>
        <v>0</v>
      </c>
      <c r="AH28">
        <f>'Overhand throw'!F31</f>
        <v>0</v>
      </c>
      <c r="AI28">
        <f>'Overhand throw'!G31</f>
        <v>0</v>
      </c>
      <c r="AJ28">
        <f>Kick!B31</f>
        <v>0</v>
      </c>
      <c r="AK28">
        <f>Kick!C31</f>
        <v>0</v>
      </c>
      <c r="AL28">
        <f>Kick!D31</f>
        <v>0</v>
      </c>
      <c r="AM28">
        <f>Kick!E31</f>
        <v>0</v>
      </c>
      <c r="AN28">
        <f>Kick!F31</f>
        <v>0</v>
      </c>
      <c r="AO28">
        <f>Kick!G31</f>
        <v>0</v>
      </c>
      <c r="AP28">
        <f>Kick!H31</f>
        <v>1</v>
      </c>
      <c r="AQ28">
        <f>Punt!B31</f>
        <v>0</v>
      </c>
      <c r="AR28">
        <f>Punt!C31</f>
        <v>0</v>
      </c>
      <c r="AS28">
        <f>Punt!D31</f>
        <v>0</v>
      </c>
      <c r="AT28">
        <f>Punt!E31</f>
        <v>0</v>
      </c>
      <c r="AU28">
        <f>Punt!F31</f>
        <v>0</v>
      </c>
      <c r="AV28">
        <f>Punt!G31</f>
        <v>0</v>
      </c>
      <c r="AW28">
        <f>Punt!H31</f>
        <v>0</v>
      </c>
      <c r="AX28">
        <f>Punt!I31</f>
        <v>0</v>
      </c>
      <c r="AY28">
        <f>Bounce!B31</f>
        <v>0</v>
      </c>
      <c r="AZ28">
        <f>Bounce!C31</f>
        <v>0</v>
      </c>
      <c r="BA28">
        <f>Bounce!D31</f>
        <v>0</v>
      </c>
      <c r="BB28">
        <f>Bounce!E31</f>
        <v>0</v>
      </c>
      <c r="BC28">
        <f>Bounce!F31</f>
        <v>0</v>
      </c>
      <c r="BD28">
        <f>'Two-handed strike'!B31</f>
        <v>0</v>
      </c>
      <c r="BE28">
        <f>'Two-handed strike'!C31</f>
        <v>0</v>
      </c>
      <c r="BF28">
        <f>'Two-handed strike'!D31</f>
        <v>0</v>
      </c>
      <c r="BG28">
        <f>'Two-handed strike'!E31</f>
        <v>0</v>
      </c>
      <c r="BH28">
        <f>'Two-handed strike'!F31</f>
        <v>0</v>
      </c>
      <c r="BI28">
        <f>'Two-handed strike'!G31</f>
        <v>0</v>
      </c>
      <c r="BJ28">
        <f>'Two-handed strike'!H31</f>
        <v>0</v>
      </c>
      <c r="BK28">
        <f>'Two-handed strike'!I31</f>
        <v>0</v>
      </c>
      <c r="BL28">
        <f>'Forehand strike'!B31</f>
        <v>0</v>
      </c>
      <c r="BM28">
        <f>'Forehand strike'!C31</f>
        <v>0</v>
      </c>
      <c r="BN28">
        <f>'Forehand strike'!D31</f>
        <v>0</v>
      </c>
      <c r="BO28">
        <f>'Forehand strike'!E31</f>
        <v>0</v>
      </c>
      <c r="BP28">
        <f>'Forehand strike'!F31</f>
        <v>0</v>
      </c>
      <c r="BQ28">
        <f>'Forehand strike'!G31</f>
        <v>0</v>
      </c>
      <c r="BR28">
        <f>'Forehand strike'!H31</f>
        <v>0</v>
      </c>
      <c r="BS28">
        <f>Gymnastics!B31</f>
        <v>0</v>
      </c>
      <c r="BT28">
        <f>Gymnastics!C31</f>
        <v>0</v>
      </c>
      <c r="BU28">
        <f>Gymnastics!D31</f>
        <v>0</v>
      </c>
      <c r="BV28">
        <f>Gymnastics!E31</f>
        <v>0</v>
      </c>
      <c r="BW28" t="str">
        <f>IFERROR(
    INDEX('ASTS 2+3'!A:L, MATCH(A28, 'ASTS 2+3'!A:A, 0), 3),
    IFERROR(
        INDEX('ASTS 2+3'!J:L, MATCH(A28, 'ASTS 2+3'!J:J, 0), 3),
    "")
)</f>
        <v/>
      </c>
      <c r="BX28">
        <f>'Rock to stand'!B31</f>
        <v>0</v>
      </c>
      <c r="BY28">
        <f>'Rock to stand'!C31</f>
        <v>0</v>
      </c>
      <c r="BZ28">
        <f>'Rock to stand'!D31</f>
        <v>0</v>
      </c>
      <c r="CA28">
        <f>'Rock to stand'!E31</f>
        <v>0</v>
      </c>
      <c r="CB28">
        <f>'Rock to stand'!F31</f>
        <v>0</v>
      </c>
      <c r="CC28">
        <f>'Rock to stand'!G31</f>
        <v>0</v>
      </c>
      <c r="CD28">
        <f>'Rock to stand'!H31</f>
        <v>0</v>
      </c>
      <c r="CE28">
        <f>'Rock to stand'!I31</f>
        <v>0</v>
      </c>
    </row>
    <row r="29" spans="1:83" x14ac:dyDescent="0.25">
      <c r="A29">
        <f>'Class List'!A32</f>
        <v>0</v>
      </c>
      <c r="B29">
        <f>'Class List'!B32</f>
        <v>0</v>
      </c>
      <c r="C29">
        <f>'Class List'!C32</f>
        <v>0</v>
      </c>
      <c r="D29">
        <f>'Run'!B32</f>
        <v>0</v>
      </c>
      <c r="E29">
        <f>'Run'!C32</f>
        <v>0</v>
      </c>
      <c r="F29">
        <f>'Run'!D32</f>
        <v>0</v>
      </c>
      <c r="G29">
        <f>'Run'!E32</f>
        <v>0</v>
      </c>
      <c r="H29">
        <f>'Run'!F32</f>
        <v>0</v>
      </c>
      <c r="I29">
        <f>'Vertical Jump'!B32</f>
        <v>0</v>
      </c>
      <c r="J29">
        <f>'Vertical Jump'!C32</f>
        <v>0</v>
      </c>
      <c r="K29">
        <f>'Vertical Jump'!D32</f>
        <v>0</v>
      </c>
      <c r="L29">
        <f>'Vertical Jump'!E32</f>
        <v>0</v>
      </c>
      <c r="M29">
        <f>'Vertical Jump'!F32</f>
        <v>0</v>
      </c>
      <c r="N29">
        <f>Leap!B32</f>
        <v>0</v>
      </c>
      <c r="O29">
        <f>Leap!C32</f>
        <v>0</v>
      </c>
      <c r="P29">
        <f>Leap!D32</f>
        <v>0</v>
      </c>
      <c r="Q29">
        <f>Leap!E32</f>
        <v>0</v>
      </c>
      <c r="R29">
        <f>Leap!F32</f>
        <v>0</v>
      </c>
      <c r="S29">
        <f>Dodge!B32</f>
        <v>0</v>
      </c>
      <c r="T29">
        <f>Dodge!C32</f>
        <v>0</v>
      </c>
      <c r="U29">
        <f>Dodge!D32</f>
        <v>0</v>
      </c>
      <c r="V29">
        <f>Dodge!E32</f>
        <v>0</v>
      </c>
      <c r="W29">
        <f>Dodge!F32</f>
        <v>0</v>
      </c>
      <c r="X29">
        <f>Catch!B32</f>
        <v>0</v>
      </c>
      <c r="Y29">
        <f>Catch!C32</f>
        <v>0</v>
      </c>
      <c r="Z29">
        <f>Catch!D32</f>
        <v>0</v>
      </c>
      <c r="AA29">
        <f>Catch!E32</f>
        <v>0</v>
      </c>
      <c r="AB29">
        <f>Catch!F32</f>
        <v>0</v>
      </c>
      <c r="AC29">
        <f>Catch!G32</f>
        <v>0</v>
      </c>
      <c r="AD29">
        <f>'Overhand throw'!B32</f>
        <v>0</v>
      </c>
      <c r="AE29">
        <f>'Overhand throw'!C32</f>
        <v>0</v>
      </c>
      <c r="AF29">
        <f>'Overhand throw'!D32</f>
        <v>0</v>
      </c>
      <c r="AG29">
        <f>'Overhand throw'!E32</f>
        <v>0</v>
      </c>
      <c r="AH29">
        <f>'Overhand throw'!F32</f>
        <v>0</v>
      </c>
      <c r="AI29">
        <f>'Overhand throw'!G32</f>
        <v>0</v>
      </c>
      <c r="AJ29">
        <f>Kick!B32</f>
        <v>0</v>
      </c>
      <c r="AK29">
        <f>Kick!C32</f>
        <v>0</v>
      </c>
      <c r="AL29">
        <f>Kick!D32</f>
        <v>0</v>
      </c>
      <c r="AM29">
        <f>Kick!E32</f>
        <v>0</v>
      </c>
      <c r="AN29">
        <f>Kick!F32</f>
        <v>0</v>
      </c>
      <c r="AO29">
        <f>Kick!G32</f>
        <v>0</v>
      </c>
      <c r="AP29">
        <f>Kick!H32</f>
        <v>1</v>
      </c>
      <c r="AQ29">
        <f>Punt!B32</f>
        <v>0</v>
      </c>
      <c r="AR29">
        <f>Punt!C32</f>
        <v>0</v>
      </c>
      <c r="AS29">
        <f>Punt!D32</f>
        <v>0</v>
      </c>
      <c r="AT29">
        <f>Punt!E32</f>
        <v>0</v>
      </c>
      <c r="AU29">
        <f>Punt!F32</f>
        <v>0</v>
      </c>
      <c r="AV29">
        <f>Punt!G32</f>
        <v>0</v>
      </c>
      <c r="AW29">
        <f>Punt!H32</f>
        <v>0</v>
      </c>
      <c r="AX29">
        <f>Punt!I32</f>
        <v>0</v>
      </c>
      <c r="AY29">
        <f>Bounce!B32</f>
        <v>0</v>
      </c>
      <c r="AZ29">
        <f>Bounce!C32</f>
        <v>0</v>
      </c>
      <c r="BA29">
        <f>Bounce!D32</f>
        <v>0</v>
      </c>
      <c r="BB29">
        <f>Bounce!E32</f>
        <v>0</v>
      </c>
      <c r="BC29">
        <f>Bounce!F32</f>
        <v>0</v>
      </c>
      <c r="BD29">
        <f>'Two-handed strike'!B32</f>
        <v>0</v>
      </c>
      <c r="BE29">
        <f>'Two-handed strike'!C32</f>
        <v>0</v>
      </c>
      <c r="BF29">
        <f>'Two-handed strike'!D32</f>
        <v>0</v>
      </c>
      <c r="BG29">
        <f>'Two-handed strike'!E32</f>
        <v>0</v>
      </c>
      <c r="BH29">
        <f>'Two-handed strike'!F32</f>
        <v>0</v>
      </c>
      <c r="BI29">
        <f>'Two-handed strike'!G32</f>
        <v>0</v>
      </c>
      <c r="BJ29">
        <f>'Two-handed strike'!H32</f>
        <v>0</v>
      </c>
      <c r="BK29">
        <f>'Two-handed strike'!I32</f>
        <v>0</v>
      </c>
      <c r="BL29">
        <f>'Forehand strike'!B32</f>
        <v>0</v>
      </c>
      <c r="BM29">
        <f>'Forehand strike'!C32</f>
        <v>0</v>
      </c>
      <c r="BN29">
        <f>'Forehand strike'!D32</f>
        <v>0</v>
      </c>
      <c r="BO29">
        <f>'Forehand strike'!E32</f>
        <v>0</v>
      </c>
      <c r="BP29">
        <f>'Forehand strike'!F32</f>
        <v>0</v>
      </c>
      <c r="BQ29">
        <f>'Forehand strike'!G32</f>
        <v>0</v>
      </c>
      <c r="BR29">
        <f>'Forehand strike'!H32</f>
        <v>0</v>
      </c>
      <c r="BS29">
        <f>Gymnastics!B32</f>
        <v>4</v>
      </c>
      <c r="BT29">
        <f>Gymnastics!C32</f>
        <v>4</v>
      </c>
      <c r="BU29">
        <f>Gymnastics!D32</f>
        <v>4</v>
      </c>
      <c r="BV29">
        <f>Gymnastics!E32</f>
        <v>4</v>
      </c>
      <c r="BW29" t="str">
        <f>IFERROR(
    INDEX('ASTS 2+3'!A:L, MATCH(A29, 'ASTS 2+3'!A:A, 0), 3),
    IFERROR(
        INDEX('ASTS 2+3'!J:L, MATCH(A29, 'ASTS 2+3'!J:J, 0), 3),
    "")
)</f>
        <v/>
      </c>
      <c r="BX29">
        <f>'Rock to stand'!B32</f>
        <v>0</v>
      </c>
      <c r="BY29">
        <f>'Rock to stand'!C32</f>
        <v>0</v>
      </c>
      <c r="BZ29">
        <f>'Rock to stand'!D32</f>
        <v>0</v>
      </c>
      <c r="CA29">
        <f>'Rock to stand'!E32</f>
        <v>0</v>
      </c>
      <c r="CB29">
        <f>'Rock to stand'!F32</f>
        <v>0</v>
      </c>
      <c r="CC29">
        <f>'Rock to stand'!G32</f>
        <v>0</v>
      </c>
      <c r="CD29">
        <f>'Rock to stand'!H32</f>
        <v>0</v>
      </c>
      <c r="CE29">
        <f>'Rock to stand'!I32</f>
        <v>0</v>
      </c>
    </row>
    <row r="30" spans="1:83" x14ac:dyDescent="0.25">
      <c r="A30">
        <f>'Class List'!A33</f>
        <v>0</v>
      </c>
      <c r="B30">
        <f>'Class List'!B33</f>
        <v>0</v>
      </c>
      <c r="C30">
        <f>'Class List'!C33</f>
        <v>0</v>
      </c>
      <c r="D30">
        <f>'Run'!B33</f>
        <v>0</v>
      </c>
      <c r="E30">
        <f>'Run'!C33</f>
        <v>0</v>
      </c>
      <c r="F30">
        <f>'Run'!D33</f>
        <v>0</v>
      </c>
      <c r="G30">
        <f>'Run'!E33</f>
        <v>0</v>
      </c>
      <c r="H30">
        <f>'Run'!F33</f>
        <v>0</v>
      </c>
      <c r="I30">
        <f>'Vertical Jump'!B33</f>
        <v>0</v>
      </c>
      <c r="J30">
        <f>'Vertical Jump'!C33</f>
        <v>0</v>
      </c>
      <c r="K30">
        <f>'Vertical Jump'!D33</f>
        <v>0</v>
      </c>
      <c r="L30">
        <f>'Vertical Jump'!E33</f>
        <v>0</v>
      </c>
      <c r="M30">
        <f>'Vertical Jump'!F33</f>
        <v>0</v>
      </c>
      <c r="N30">
        <f>Leap!B33</f>
        <v>0</v>
      </c>
      <c r="O30">
        <f>Leap!C33</f>
        <v>0</v>
      </c>
      <c r="P30">
        <f>Leap!D33</f>
        <v>0</v>
      </c>
      <c r="Q30">
        <f>Leap!E33</f>
        <v>0</v>
      </c>
      <c r="R30">
        <f>Leap!F33</f>
        <v>0</v>
      </c>
      <c r="S30">
        <f>Dodge!B33</f>
        <v>0</v>
      </c>
      <c r="T30">
        <f>Dodge!C33</f>
        <v>0</v>
      </c>
      <c r="U30">
        <f>Dodge!D33</f>
        <v>0</v>
      </c>
      <c r="V30">
        <f>Dodge!E33</f>
        <v>0</v>
      </c>
      <c r="W30">
        <f>Dodge!F33</f>
        <v>0</v>
      </c>
      <c r="X30">
        <f>Catch!B33</f>
        <v>0</v>
      </c>
      <c r="Y30">
        <f>Catch!C33</f>
        <v>0</v>
      </c>
      <c r="Z30">
        <f>Catch!D33</f>
        <v>0</v>
      </c>
      <c r="AA30">
        <f>Catch!E33</f>
        <v>0</v>
      </c>
      <c r="AB30">
        <f>Catch!F33</f>
        <v>0</v>
      </c>
      <c r="AC30">
        <f>Catch!G33</f>
        <v>0</v>
      </c>
      <c r="AD30">
        <f>'Overhand throw'!B33</f>
        <v>0</v>
      </c>
      <c r="AE30">
        <f>'Overhand throw'!C33</f>
        <v>0</v>
      </c>
      <c r="AF30">
        <f>'Overhand throw'!D33</f>
        <v>0</v>
      </c>
      <c r="AG30">
        <f>'Overhand throw'!E33</f>
        <v>0</v>
      </c>
      <c r="AH30">
        <f>'Overhand throw'!F33</f>
        <v>0</v>
      </c>
      <c r="AI30">
        <f>'Overhand throw'!G33</f>
        <v>0</v>
      </c>
      <c r="AJ30">
        <f>Kick!B33</f>
        <v>0</v>
      </c>
      <c r="AK30">
        <f>Kick!C33</f>
        <v>0</v>
      </c>
      <c r="AL30">
        <f>Kick!D33</f>
        <v>0</v>
      </c>
      <c r="AM30">
        <f>Kick!E33</f>
        <v>0</v>
      </c>
      <c r="AN30">
        <f>Kick!F33</f>
        <v>0</v>
      </c>
      <c r="AO30">
        <f>Kick!G33</f>
        <v>0</v>
      </c>
      <c r="AP30">
        <f>Kick!H33</f>
        <v>1</v>
      </c>
      <c r="AQ30">
        <f>Punt!B33</f>
        <v>0</v>
      </c>
      <c r="AR30">
        <f>Punt!C33</f>
        <v>0</v>
      </c>
      <c r="AS30">
        <f>Punt!D33</f>
        <v>0</v>
      </c>
      <c r="AT30">
        <f>Punt!E33</f>
        <v>0</v>
      </c>
      <c r="AU30">
        <f>Punt!F33</f>
        <v>0</v>
      </c>
      <c r="AV30">
        <f>Punt!G33</f>
        <v>0</v>
      </c>
      <c r="AW30">
        <f>Punt!H33</f>
        <v>0</v>
      </c>
      <c r="AX30">
        <f>Punt!I33</f>
        <v>0</v>
      </c>
      <c r="AY30">
        <f>Bounce!B33</f>
        <v>0</v>
      </c>
      <c r="AZ30">
        <f>Bounce!C33</f>
        <v>0</v>
      </c>
      <c r="BA30">
        <f>Bounce!D33</f>
        <v>0</v>
      </c>
      <c r="BB30">
        <f>Bounce!E33</f>
        <v>0</v>
      </c>
      <c r="BC30">
        <f>Bounce!F33</f>
        <v>0</v>
      </c>
      <c r="BD30">
        <f>'Two-handed strike'!B33</f>
        <v>0</v>
      </c>
      <c r="BE30">
        <f>'Two-handed strike'!C33</f>
        <v>0</v>
      </c>
      <c r="BF30">
        <f>'Two-handed strike'!D33</f>
        <v>0</v>
      </c>
      <c r="BG30">
        <f>'Two-handed strike'!E33</f>
        <v>0</v>
      </c>
      <c r="BH30">
        <f>'Two-handed strike'!F33</f>
        <v>0</v>
      </c>
      <c r="BI30">
        <f>'Two-handed strike'!G33</f>
        <v>0</v>
      </c>
      <c r="BJ30">
        <f>'Two-handed strike'!H33</f>
        <v>0</v>
      </c>
      <c r="BK30">
        <f>'Two-handed strike'!I33</f>
        <v>0</v>
      </c>
      <c r="BL30">
        <f>'Forehand strike'!B33</f>
        <v>0</v>
      </c>
      <c r="BM30">
        <f>'Forehand strike'!C33</f>
        <v>0</v>
      </c>
      <c r="BN30">
        <f>'Forehand strike'!D33</f>
        <v>0</v>
      </c>
      <c r="BO30">
        <f>'Forehand strike'!E33</f>
        <v>0</v>
      </c>
      <c r="BP30">
        <f>'Forehand strike'!F33</f>
        <v>0</v>
      </c>
      <c r="BQ30">
        <f>'Forehand strike'!G33</f>
        <v>0</v>
      </c>
      <c r="BR30">
        <f>'Forehand strike'!H33</f>
        <v>0</v>
      </c>
      <c r="BS30">
        <f>Gymnastics!B33</f>
        <v>0</v>
      </c>
      <c r="BT30">
        <f>Gymnastics!C33</f>
        <v>0</v>
      </c>
      <c r="BU30">
        <f>Gymnastics!D33</f>
        <v>0</v>
      </c>
      <c r="BV30">
        <f>Gymnastics!E33</f>
        <v>0</v>
      </c>
      <c r="BW30" t="str">
        <f>IFERROR(
    INDEX('ASTS 2+3'!A:L, MATCH(A30, 'ASTS 2+3'!A:A, 0), 3),
    IFERROR(
        INDEX('ASTS 2+3'!J:L, MATCH(A30, 'ASTS 2+3'!J:J, 0), 3),
    "")
)</f>
        <v/>
      </c>
      <c r="BX30">
        <f>'Rock to stand'!B33</f>
        <v>0</v>
      </c>
      <c r="BY30">
        <f>'Rock to stand'!C33</f>
        <v>0</v>
      </c>
      <c r="BZ30">
        <f>'Rock to stand'!D33</f>
        <v>0</v>
      </c>
      <c r="CA30">
        <f>'Rock to stand'!E33</f>
        <v>0</v>
      </c>
      <c r="CB30">
        <f>'Rock to stand'!F33</f>
        <v>0</v>
      </c>
      <c r="CC30">
        <f>'Rock to stand'!G33</f>
        <v>0</v>
      </c>
      <c r="CD30">
        <f>'Rock to stand'!H33</f>
        <v>0</v>
      </c>
      <c r="CE30">
        <f>'Rock to stand'!I33</f>
        <v>0</v>
      </c>
    </row>
    <row r="31" spans="1:83" x14ac:dyDescent="0.25">
      <c r="A31">
        <f>'Class List'!A34</f>
        <v>0</v>
      </c>
      <c r="B31">
        <f>'Class List'!B34</f>
        <v>0</v>
      </c>
      <c r="C31">
        <f>'Class List'!C34</f>
        <v>0</v>
      </c>
      <c r="D31">
        <f>'Run'!B34</f>
        <v>0</v>
      </c>
      <c r="E31">
        <f>'Run'!C34</f>
        <v>0</v>
      </c>
      <c r="F31">
        <f>'Run'!D34</f>
        <v>0</v>
      </c>
      <c r="G31">
        <f>'Run'!E34</f>
        <v>0</v>
      </c>
      <c r="H31">
        <f>'Run'!F34</f>
        <v>0</v>
      </c>
      <c r="I31">
        <f>'Vertical Jump'!B34</f>
        <v>0</v>
      </c>
      <c r="J31">
        <f>'Vertical Jump'!C34</f>
        <v>0</v>
      </c>
      <c r="K31">
        <f>'Vertical Jump'!D34</f>
        <v>0</v>
      </c>
      <c r="L31">
        <f>'Vertical Jump'!E34</f>
        <v>0</v>
      </c>
      <c r="M31">
        <f>'Vertical Jump'!F34</f>
        <v>0</v>
      </c>
      <c r="N31">
        <f>Leap!B34</f>
        <v>0</v>
      </c>
      <c r="O31">
        <f>Leap!C34</f>
        <v>0</v>
      </c>
      <c r="P31">
        <f>Leap!D34</f>
        <v>0</v>
      </c>
      <c r="Q31">
        <f>Leap!E34</f>
        <v>0</v>
      </c>
      <c r="R31">
        <f>Leap!F34</f>
        <v>0</v>
      </c>
      <c r="S31">
        <f>Dodge!B34</f>
        <v>0</v>
      </c>
      <c r="T31">
        <f>Dodge!C34</f>
        <v>0</v>
      </c>
      <c r="U31">
        <f>Dodge!D34</f>
        <v>0</v>
      </c>
      <c r="V31">
        <f>Dodge!E34</f>
        <v>0</v>
      </c>
      <c r="W31">
        <f>Dodge!F34</f>
        <v>0</v>
      </c>
      <c r="X31">
        <f>Catch!B34</f>
        <v>0</v>
      </c>
      <c r="Y31">
        <f>Catch!C34</f>
        <v>0</v>
      </c>
      <c r="Z31">
        <f>Catch!D34</f>
        <v>0</v>
      </c>
      <c r="AA31">
        <f>Catch!E34</f>
        <v>0</v>
      </c>
      <c r="AB31">
        <f>Catch!F34</f>
        <v>0</v>
      </c>
      <c r="AC31">
        <f>Catch!G34</f>
        <v>0</v>
      </c>
      <c r="AD31">
        <f>'Overhand throw'!B34</f>
        <v>0</v>
      </c>
      <c r="AE31">
        <f>'Overhand throw'!C34</f>
        <v>0</v>
      </c>
      <c r="AF31">
        <f>'Overhand throw'!D34</f>
        <v>0</v>
      </c>
      <c r="AG31">
        <f>'Overhand throw'!E34</f>
        <v>0</v>
      </c>
      <c r="AH31">
        <f>'Overhand throw'!F34</f>
        <v>0</v>
      </c>
      <c r="AI31">
        <f>'Overhand throw'!G34</f>
        <v>0</v>
      </c>
      <c r="AJ31">
        <f>Kick!B34</f>
        <v>0</v>
      </c>
      <c r="AK31">
        <f>Kick!C34</f>
        <v>0</v>
      </c>
      <c r="AL31">
        <f>Kick!D34</f>
        <v>0</v>
      </c>
      <c r="AM31">
        <f>Kick!E34</f>
        <v>0</v>
      </c>
      <c r="AN31">
        <f>Kick!F34</f>
        <v>0</v>
      </c>
      <c r="AO31">
        <f>Kick!G34</f>
        <v>0</v>
      </c>
      <c r="AP31">
        <f>Kick!H34</f>
        <v>1</v>
      </c>
      <c r="AQ31">
        <f>Punt!B34</f>
        <v>0</v>
      </c>
      <c r="AR31">
        <f>Punt!C34</f>
        <v>0</v>
      </c>
      <c r="AS31">
        <f>Punt!D34</f>
        <v>0</v>
      </c>
      <c r="AT31">
        <f>Punt!E34</f>
        <v>0</v>
      </c>
      <c r="AU31">
        <f>Punt!F34</f>
        <v>0</v>
      </c>
      <c r="AV31">
        <f>Punt!G34</f>
        <v>0</v>
      </c>
      <c r="AW31">
        <f>Punt!H34</f>
        <v>0</v>
      </c>
      <c r="AX31">
        <f>Punt!I34</f>
        <v>0</v>
      </c>
      <c r="AY31">
        <f>Bounce!B34</f>
        <v>0</v>
      </c>
      <c r="AZ31">
        <f>Bounce!C34</f>
        <v>0</v>
      </c>
      <c r="BA31">
        <f>Bounce!D34</f>
        <v>0</v>
      </c>
      <c r="BB31">
        <f>Bounce!E34</f>
        <v>0</v>
      </c>
      <c r="BC31">
        <f>Bounce!F34</f>
        <v>0</v>
      </c>
      <c r="BD31">
        <f>'Two-handed strike'!B34</f>
        <v>0</v>
      </c>
      <c r="BE31">
        <f>'Two-handed strike'!C34</f>
        <v>0</v>
      </c>
      <c r="BF31">
        <f>'Two-handed strike'!D34</f>
        <v>0</v>
      </c>
      <c r="BG31">
        <f>'Two-handed strike'!E34</f>
        <v>0</v>
      </c>
      <c r="BH31">
        <f>'Two-handed strike'!F34</f>
        <v>0</v>
      </c>
      <c r="BI31">
        <f>'Two-handed strike'!G34</f>
        <v>0</v>
      </c>
      <c r="BJ31">
        <f>'Two-handed strike'!H34</f>
        <v>0</v>
      </c>
      <c r="BK31">
        <f>'Two-handed strike'!I34</f>
        <v>0</v>
      </c>
      <c r="BL31">
        <f>'Forehand strike'!B34</f>
        <v>0</v>
      </c>
      <c r="BM31">
        <f>'Forehand strike'!C34</f>
        <v>0</v>
      </c>
      <c r="BN31">
        <f>'Forehand strike'!D34</f>
        <v>0</v>
      </c>
      <c r="BO31">
        <f>'Forehand strike'!E34</f>
        <v>0</v>
      </c>
      <c r="BP31">
        <f>'Forehand strike'!F34</f>
        <v>0</v>
      </c>
      <c r="BQ31">
        <f>'Forehand strike'!G34</f>
        <v>0</v>
      </c>
      <c r="BR31">
        <f>'Forehand strike'!H34</f>
        <v>0</v>
      </c>
      <c r="BS31">
        <f>Gymnastics!B34</f>
        <v>0</v>
      </c>
      <c r="BT31">
        <f>Gymnastics!C34</f>
        <v>0</v>
      </c>
      <c r="BU31">
        <f>Gymnastics!D34</f>
        <v>0</v>
      </c>
      <c r="BV31">
        <f>Gymnastics!E34</f>
        <v>0</v>
      </c>
      <c r="BW31" t="str">
        <f>IFERROR(
    INDEX('ASTS 2+3'!A:L, MATCH(A31, 'ASTS 2+3'!A:A, 0), 3),
    IFERROR(
        INDEX('ASTS 2+3'!J:L, MATCH(A31, 'ASTS 2+3'!J:J, 0), 3),
    "")
)</f>
        <v/>
      </c>
      <c r="BX31">
        <f>'Rock to stand'!B34</f>
        <v>0</v>
      </c>
      <c r="BY31">
        <f>'Rock to stand'!C34</f>
        <v>0</v>
      </c>
      <c r="BZ31">
        <f>'Rock to stand'!D34</f>
        <v>0</v>
      </c>
      <c r="CA31">
        <f>'Rock to stand'!E34</f>
        <v>0</v>
      </c>
      <c r="CB31">
        <f>'Rock to stand'!F34</f>
        <v>0</v>
      </c>
      <c r="CC31">
        <f>'Rock to stand'!G34</f>
        <v>0</v>
      </c>
      <c r="CD31">
        <f>'Rock to stand'!H34</f>
        <v>0</v>
      </c>
      <c r="CE31">
        <f>'Rock to stand'!I34</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785aea02-ce53-49dd-94f9-ae98683926c9" xsi:nil="true"/>
    <lcf76f155ced4ddcb4097134ff3c332f xmlns="1af919db-2013-49ad-8969-e64fab19950b">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3A0DB43F5089140A609DAE0554932D2" ma:contentTypeVersion="18" ma:contentTypeDescription="Create a new document." ma:contentTypeScope="" ma:versionID="9cf8ea23b58657fb8ec7c5974047bd0b">
  <xsd:schema xmlns:xsd="http://www.w3.org/2001/XMLSchema" xmlns:xs="http://www.w3.org/2001/XMLSchema" xmlns:p="http://schemas.microsoft.com/office/2006/metadata/properties" xmlns:ns2="1af919db-2013-49ad-8969-e64fab19950b" xmlns:ns3="785aea02-ce53-49dd-94f9-ae98683926c9" targetNamespace="http://schemas.microsoft.com/office/2006/metadata/properties" ma:root="true" ma:fieldsID="5d1c9c6cec15995698a478ec67ffb0a4" ns2:_="" ns3:_="">
    <xsd:import namespace="1af919db-2013-49ad-8969-e64fab19950b"/>
    <xsd:import namespace="785aea02-ce53-49dd-94f9-ae98683926c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f919db-2013-49ad-8969-e64fab1995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0b607bbe-9751-46d3-ac86-39dfe314132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85aea02-ce53-49dd-94f9-ae98683926c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759ebea-3cdf-4122-8f68-3d8df53fcc6d}" ma:internalName="TaxCatchAll" ma:showField="CatchAllData" ma:web="785aea02-ce53-49dd-94f9-ae98683926c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D7012E-6995-4552-A897-17F588F44FA1}">
  <ds:schemaRefs>
    <ds:schemaRef ds:uri="http://schemas.microsoft.com/sharepoint/v3/contenttype/forms"/>
  </ds:schemaRefs>
</ds:datastoreItem>
</file>

<file path=customXml/itemProps2.xml><?xml version="1.0" encoding="utf-8"?>
<ds:datastoreItem xmlns:ds="http://schemas.openxmlformats.org/officeDocument/2006/customXml" ds:itemID="{0832D84B-72B4-4ECA-A2BE-AD107B1B3994}">
  <ds:schemaRefs>
    <ds:schemaRef ds:uri="http://schemas.microsoft.com/DataMashup"/>
  </ds:schemaRefs>
</ds:datastoreItem>
</file>

<file path=customXml/itemProps3.xml><?xml version="1.0" encoding="utf-8"?>
<ds:datastoreItem xmlns:ds="http://schemas.openxmlformats.org/officeDocument/2006/customXml" ds:itemID="{BFA858AA-E62D-4083-8582-0C55EC4FE762}">
  <ds:schemaRefs>
    <ds:schemaRef ds:uri="1af919db-2013-49ad-8969-e64fab19950b"/>
    <ds:schemaRef ds:uri="http://schemas.microsoft.com/office/2006/documentManagement/types"/>
    <ds:schemaRef ds:uri="http://schemas.openxmlformats.org/package/2006/metadata/core-properties"/>
    <ds:schemaRef ds:uri="http://www.w3.org/XML/1998/namespace"/>
    <ds:schemaRef ds:uri="785aea02-ce53-49dd-94f9-ae98683926c9"/>
    <ds:schemaRef ds:uri="http://purl.org/dc/elements/1.1/"/>
    <ds:schemaRef ds:uri="http://purl.org/dc/terms/"/>
    <ds:schemaRef ds:uri="http://schemas.microsoft.com/office/2006/metadata/properties"/>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11F98F7D-88EF-41F3-8532-42D1D8A5FA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f919db-2013-49ad-8969-e64fab19950b"/>
    <ds:schemaRef ds:uri="785aea02-ce53-49dd-94f9-ae9868392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Class List</vt:lpstr>
      <vt:lpstr>Run</vt:lpstr>
      <vt:lpstr>Vertical Jump</vt:lpstr>
      <vt:lpstr>Leap</vt:lpstr>
      <vt:lpstr>Dodge</vt:lpstr>
      <vt:lpstr>Catch</vt:lpstr>
      <vt:lpstr>Overhand throw</vt:lpstr>
      <vt:lpstr>Kick</vt:lpstr>
      <vt:lpstr>Punt</vt:lpstr>
      <vt:lpstr>Bounce</vt:lpstr>
      <vt:lpstr>Two-handed strike</vt:lpstr>
      <vt:lpstr>Forehand strike</vt:lpstr>
      <vt:lpstr>Gymnastics</vt:lpstr>
      <vt:lpstr>ASTS 2+3</vt:lpstr>
      <vt:lpstr>Rock to stand</vt:lpstr>
      <vt:lpstr>Rubric</vt:lpstr>
      <vt:lpstr>Class List Import</vt:lpstr>
      <vt:lpstr>Class Export</vt:lpstr>
      <vt:lpstr>Class_List</vt:lpstr>
      <vt:lpstr>CSV_Path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Snow</dc:creator>
  <cp:keywords/>
  <dc:description/>
  <cp:lastModifiedBy>Robbie Kennedy</cp:lastModifiedBy>
  <cp:revision/>
  <dcterms:created xsi:type="dcterms:W3CDTF">2023-05-19T00:58:19Z</dcterms:created>
  <dcterms:modified xsi:type="dcterms:W3CDTF">2025-04-13T06:11:58Z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0x01010053A0DB43F5089140A609DAE0554932D2</vt:lpwstr>
  </property>
  <property fmtid="{D5CDD505-2E9C-101B-9397-08002B2CF9AE}" pid="3" name="MediaServiceImageTags">
    <vt:lpwstr/>
  </property>
</Properties>
</file>